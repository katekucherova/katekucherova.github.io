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882" documentId="11_E60897F41BE170836B02CE998F75CCDC64E183C8" xr6:coauthVersionLast="47" xr6:coauthVersionMax="47" xr10:uidLastSave="{9B092579-4E74-4CDF-846D-58B5C89BD18F}"/>
  <bookViews>
    <workbookView xWindow="240" yWindow="105" windowWidth="14805" windowHeight="8010" firstSheet="3" activeTab="3" xr2:uid="{00000000-000D-0000-FFFF-FFFF00000000}"/>
  </bookViews>
  <sheets>
    <sheet name="CONTRACT SETUP" sheetId="1" r:id="rId1"/>
    <sheet name="REVENUE RECOGNITION SCHEDULE" sheetId="2" r:id="rId2"/>
    <sheet name="COST TRACKING" sheetId="3" r:id="rId3"/>
    <sheet name="ASC 606 SUMMA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1" i="4" l="1"/>
  <c r="D28" i="4"/>
  <c r="D3" i="3"/>
  <c r="H13" i="2"/>
  <c r="H8" i="2"/>
  <c r="E3" i="2"/>
  <c r="A27" i="4"/>
  <c r="D4" i="3"/>
  <c r="D5" i="3"/>
  <c r="D6" i="3"/>
  <c r="D7" i="3"/>
  <c r="D8" i="3"/>
  <c r="D9" i="3"/>
  <c r="D10" i="3"/>
  <c r="D11" i="3"/>
  <c r="D12" i="3"/>
  <c r="D13" i="3"/>
  <c r="D14" i="3"/>
  <c r="D15" i="3"/>
  <c r="D16" i="3"/>
  <c r="D17" i="3"/>
  <c r="D18" i="3"/>
  <c r="D19" i="3"/>
  <c r="D20" i="3"/>
  <c r="I5" i="2"/>
  <c r="I6" i="2"/>
  <c r="I7" i="2"/>
  <c r="I8" i="2"/>
  <c r="I9" i="2"/>
  <c r="I10" i="2"/>
  <c r="I11" i="2"/>
  <c r="I12" i="2"/>
  <c r="I13" i="2"/>
  <c r="I14" i="2"/>
  <c r="I15" i="2"/>
  <c r="I16" i="2"/>
  <c r="I17" i="2"/>
  <c r="I4" i="2"/>
  <c r="I3" i="2"/>
  <c r="A42" i="4"/>
  <c r="B38" i="4"/>
  <c r="A38" i="4"/>
  <c r="D31" i="4"/>
  <c r="C31" i="4"/>
  <c r="D30" i="4"/>
  <c r="D29" i="4"/>
  <c r="D27" i="4"/>
  <c r="C30" i="4"/>
  <c r="C29" i="4"/>
  <c r="C28" i="4"/>
  <c r="C27" i="4"/>
  <c r="B30" i="4"/>
  <c r="B29" i="4"/>
  <c r="B28" i="4"/>
  <c r="B27" i="4"/>
  <c r="A30" i="4"/>
  <c r="A29" i="4"/>
  <c r="A28" i="4"/>
  <c r="A21" i="4"/>
  <c r="C15" i="4"/>
  <c r="C14" i="4"/>
  <c r="B14" i="4"/>
  <c r="C13" i="4"/>
  <c r="B13" i="4"/>
  <c r="A13" i="4"/>
  <c r="C12" i="4"/>
  <c r="B12" i="4"/>
  <c r="A12" i="4"/>
  <c r="C11" i="4"/>
  <c r="B11" i="4"/>
  <c r="E5" i="4"/>
  <c r="D5" i="4"/>
  <c r="C5" i="4"/>
  <c r="B5" i="4"/>
  <c r="A5" i="4"/>
  <c r="E3" i="3"/>
  <c r="E4" i="3"/>
  <c r="E5" i="3"/>
  <c r="E6" i="3"/>
  <c r="E7" i="3"/>
  <c r="E8" i="3"/>
  <c r="E9" i="3"/>
  <c r="E10" i="3"/>
  <c r="E11" i="3"/>
  <c r="E12" i="3"/>
  <c r="E13" i="3"/>
  <c r="E14" i="3"/>
  <c r="E15" i="3"/>
  <c r="E16" i="3"/>
  <c r="E17" i="3"/>
  <c r="E18" i="3"/>
  <c r="E19" i="3"/>
  <c r="E20" i="3"/>
  <c r="E2" i="3"/>
  <c r="D2" i="3"/>
  <c r="C20" i="3"/>
  <c r="B20" i="3"/>
  <c r="I2" i="2"/>
  <c r="G20" i="2"/>
  <c r="E20" i="2"/>
  <c r="C16" i="1"/>
  <c r="J3" i="2"/>
  <c r="J4" i="2"/>
  <c r="J5" i="2"/>
  <c r="J6" i="2"/>
  <c r="J7" i="2"/>
  <c r="J8" i="2"/>
  <c r="J9" i="2"/>
  <c r="J10" i="2"/>
  <c r="J11" i="2"/>
  <c r="J12" i="2"/>
  <c r="J13" i="2"/>
  <c r="J14" i="2"/>
  <c r="J15" i="2"/>
  <c r="J16" i="2"/>
  <c r="J17" i="2"/>
  <c r="J2" i="2"/>
  <c r="H3" i="2"/>
  <c r="H4" i="2"/>
  <c r="H5" i="2"/>
  <c r="H6" i="2"/>
  <c r="H7" i="2"/>
  <c r="H9" i="2"/>
  <c r="H10" i="2"/>
  <c r="H11" i="2"/>
  <c r="H12" i="2"/>
  <c r="H14" i="2"/>
  <c r="H15" i="2"/>
  <c r="H16" i="2"/>
  <c r="H17" i="2"/>
  <c r="H18" i="2"/>
  <c r="I18" i="2" s="1"/>
  <c r="J18" i="2" s="1"/>
  <c r="H19" i="2"/>
  <c r="H2" i="2"/>
  <c r="C3" i="2"/>
  <c r="D13" i="1"/>
  <c r="D14" i="1"/>
  <c r="D15" i="1"/>
  <c r="D12" i="1"/>
  <c r="D16" i="1"/>
  <c r="G17" i="2"/>
  <c r="G12" i="2"/>
  <c r="G7" i="2"/>
  <c r="G2" i="2"/>
  <c r="F6" i="2"/>
  <c r="F7" i="2"/>
  <c r="F8" i="2"/>
  <c r="F9" i="2"/>
  <c r="F10" i="2"/>
  <c r="F11" i="2"/>
  <c r="F12" i="2"/>
  <c r="F13" i="2"/>
  <c r="F14" i="2"/>
  <c r="F15" i="2"/>
  <c r="F16" i="2"/>
  <c r="F17" i="2"/>
  <c r="F18" i="2"/>
  <c r="F19" i="2"/>
  <c r="F5" i="2"/>
  <c r="F2" i="2"/>
  <c r="E4" i="2"/>
  <c r="E5" i="2"/>
  <c r="E6" i="2"/>
  <c r="E7" i="2"/>
  <c r="E8" i="2"/>
  <c r="E9" i="2"/>
  <c r="E10" i="2"/>
  <c r="E11" i="2"/>
  <c r="E12" i="2"/>
  <c r="E13" i="2"/>
  <c r="E14" i="2"/>
  <c r="E15" i="2"/>
  <c r="E16" i="2"/>
  <c r="E17" i="2"/>
  <c r="E18" i="2"/>
  <c r="E19" i="2"/>
  <c r="E2" i="2"/>
  <c r="D2" i="2"/>
  <c r="D20" i="2"/>
  <c r="C20" i="2"/>
  <c r="D3" i="2"/>
  <c r="D4" i="2"/>
  <c r="D5" i="2"/>
  <c r="D6" i="2"/>
  <c r="D7" i="2"/>
  <c r="D8" i="2"/>
  <c r="D9" i="2"/>
  <c r="D10" i="2"/>
  <c r="D11" i="2"/>
  <c r="D12" i="2"/>
  <c r="D13" i="2"/>
  <c r="D14" i="2"/>
  <c r="D15" i="2"/>
  <c r="D16" i="2"/>
  <c r="D17" i="2"/>
  <c r="D18" i="2"/>
  <c r="D19" i="2"/>
  <c r="C6" i="2"/>
  <c r="C7" i="2"/>
  <c r="C8" i="2"/>
  <c r="C9" i="2"/>
  <c r="C10" i="2"/>
  <c r="C11" i="2"/>
  <c r="C12" i="2"/>
  <c r="C13" i="2"/>
  <c r="C14" i="2"/>
  <c r="C15" i="2"/>
  <c r="C16" i="2"/>
  <c r="C17" i="2"/>
  <c r="C18" i="2"/>
  <c r="C19" i="2"/>
  <c r="C4" i="2"/>
  <c r="C5" i="2"/>
  <c r="C2" i="2"/>
  <c r="B20" i="2"/>
  <c r="I19" i="2" l="1"/>
  <c r="C38" i="4"/>
  <c r="H20" i="2"/>
  <c r="F4" i="2"/>
  <c r="F3" i="2"/>
  <c r="F20" i="2" s="1"/>
  <c r="D38" i="4" l="1"/>
  <c r="I20" i="2"/>
  <c r="J19" i="2"/>
</calcChain>
</file>

<file path=xl/sharedStrings.xml><?xml version="1.0" encoding="utf-8"?>
<sst xmlns="http://schemas.openxmlformats.org/spreadsheetml/2006/main" count="82" uniqueCount="70">
  <si>
    <t>Company name:</t>
  </si>
  <si>
    <t>ABC Industrial Solutions</t>
  </si>
  <si>
    <t>Customer name:</t>
  </si>
  <si>
    <t>XYZ Manufacturing Corp</t>
  </si>
  <si>
    <t>Contract description: Custom Equipment Installation:</t>
  </si>
  <si>
    <t>18-month fixed-price contract</t>
  </si>
  <si>
    <t>Contract value:</t>
  </si>
  <si>
    <t xml:space="preserve">Total estimated costs: </t>
  </si>
  <si>
    <t>Contract start date:</t>
  </si>
  <si>
    <t>Contract end date:</t>
  </si>
  <si>
    <t xml:space="preserve">Number of milestones: </t>
  </si>
  <si>
    <t>Milestone</t>
  </si>
  <si>
    <t>Event</t>
  </si>
  <si>
    <t>Billing %</t>
  </si>
  <si>
    <t>Billing Amount</t>
  </si>
  <si>
    <t>M1</t>
  </si>
  <si>
    <t>Contract Signing</t>
  </si>
  <si>
    <t>M2</t>
  </si>
  <si>
    <t>Design Approval</t>
  </si>
  <si>
    <t>M3</t>
  </si>
  <si>
    <t>Testing Complete</t>
  </si>
  <si>
    <t>M4</t>
  </si>
  <si>
    <t>Final Delivery</t>
  </si>
  <si>
    <t>Total billing, %:</t>
  </si>
  <si>
    <t>Month</t>
  </si>
  <si>
    <t>Planned Cost Incurred This Month</t>
  </si>
  <si>
    <t>Cumulative Costs Incurred</t>
  </si>
  <si>
    <t>% Complete</t>
  </si>
  <si>
    <t>Cumulative Revenue to Recognize</t>
  </si>
  <si>
    <t>Revenue Recognized This Month</t>
  </si>
  <si>
    <t>Amount Billed This Month</t>
  </si>
  <si>
    <t>Cumulative Billings</t>
  </si>
  <si>
    <t>Contract Asset / (Liability)</t>
  </si>
  <si>
    <t>Label</t>
  </si>
  <si>
    <t>Total:</t>
  </si>
  <si>
    <t>Actual Cost This Month</t>
  </si>
  <si>
    <t>Variance</t>
  </si>
  <si>
    <t>RAG status</t>
  </si>
  <si>
    <t>Total</t>
  </si>
  <si>
    <t>ASC 606 — Five-Step Revenue Recognition Model | ABC Industrial Solutions × XYZ Manufacturing Corp</t>
  </si>
  <si>
    <t>STEP 1 — IDENTIFY THE CONTRACT</t>
  </si>
  <si>
    <t>Fixed-price contract between ABC Industrial Solutions (Supplier) and XYZ Manufacturing Corp (Customer) for custom equipment installation. Contract is legally enforceable with defined payment terms and commercial substance.</t>
  </si>
  <si>
    <t>Customer</t>
  </si>
  <si>
    <t>Supplier</t>
  </si>
  <si>
    <t>Contract Value</t>
  </si>
  <si>
    <t>Start Date</t>
  </si>
  <si>
    <t>End Date</t>
  </si>
  <si>
    <t>Duration</t>
  </si>
  <si>
    <t>18 months</t>
  </si>
  <si>
    <t>STEP 2 — IDENTIFY PERFORMANCE OBLIGATIONS</t>
  </si>
  <si>
    <t>The contract contains four distinct performance obligations. Each milestone represents a separately identifiable deliverable that transfers control to the customer.</t>
  </si>
  <si>
    <t>Description</t>
  </si>
  <si>
    <t>% of contract</t>
  </si>
  <si>
    <t>STEP 3 — DETERMINE THE TRANSACTION PRICE</t>
  </si>
  <si>
    <t>The transaction price is fixed at contract signing. There is no variable consideration, significant financing component, non-cash consideration, or amounts payable to the customer.</t>
  </si>
  <si>
    <t>Contract Type</t>
  </si>
  <si>
    <t>Currency</t>
  </si>
  <si>
    <t>Variable Consideration</t>
  </si>
  <si>
    <t>Fixed-Price</t>
  </si>
  <si>
    <t>USD</t>
  </si>
  <si>
    <t>None</t>
  </si>
  <si>
    <t>STEP 4 — ALLOCATE THE TRANSACTION PRICE</t>
  </si>
  <si>
    <t>The transaction price is allocated to each performance obligation based on relative standalone selling price. For this fixed-price contract, allocation follows the milestone billing schedule agreed at contract inception.</t>
  </si>
  <si>
    <t>Allocation %</t>
  </si>
  <si>
    <t>Allocated Amount</t>
  </si>
  <si>
    <t>STEP 5 — RECOGNIZE REVENUE</t>
  </si>
  <si>
    <t>Revenue is recognized over time using the cost-to-cost input method. The percentage of completion is calculated as cumulative costs incurred to date divided by total estimated contract costs. This method faithfully depicts the transfer of control to the customer as work progresses.</t>
  </si>
  <si>
    <t>% Complete = Cumulative Costs Incurred ÷ Total Estimated Costs</t>
  </si>
  <si>
    <t>Cumulative Revenue Recognized</t>
  </si>
  <si>
    <t>Methodology: ASC 606 — Revenue from Contracts with Customers (FASB) | Cost-to-Cost Input Method | Built by Ekaterina Kucherova | May 2026 | Independent portfolio project — fictional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</si>
</sst>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164" formatCode="[$-409]mmmm\-yy;@"/>
    <numFmt numFmtId="165" formatCode="[$-409]d\-mmm\-yy;@"/>
    <numFmt numFmtId="166" formatCode="&quot;$&quot;#,##0"/>
  </numFmts>
  <fonts count="18">
    <font>
      <sz val="11"/>
      <color theme="1"/>
      <name val="Calibri"/>
      <family val="2"/>
      <scheme val="minor"/>
    </font>
    <font>
      <sz val="11"/>
      <color theme="1"/>
      <name val="Calibri"/>
      <scheme val="minor"/>
    </font>
    <font>
      <sz val="11"/>
      <color rgb="FF242424"/>
      <name val="Aptos Narrow"/>
      <charset val="1"/>
    </font>
    <font>
      <sz val="11"/>
      <color theme="4"/>
      <name val="Aptos Narrow"/>
      <charset val="1"/>
    </font>
    <font>
      <sz val="11"/>
      <color theme="4"/>
      <name val="Calibri"/>
      <family val="2"/>
      <scheme val="minor"/>
    </font>
    <font>
      <b/>
      <sz val="11"/>
      <color theme="1"/>
      <name val="Calibri"/>
      <scheme val="minor"/>
    </font>
    <font>
      <sz val="8"/>
      <color theme="1" tint="0.14999847407452621"/>
      <name val="Calibri"/>
      <family val="2"/>
      <scheme val="minor"/>
    </font>
    <font>
      <sz val="11"/>
      <color rgb="FF242424"/>
      <name val="Calibri"/>
      <scheme val="minor"/>
    </font>
    <font>
      <i/>
      <sz val="11"/>
      <color theme="1"/>
      <name val="Calibri"/>
      <scheme val="minor"/>
    </font>
    <font>
      <i/>
      <sz val="11"/>
      <color rgb="FF14181F"/>
      <name val="Calibri"/>
      <scheme val="minor"/>
    </font>
    <font>
      <sz val="11"/>
      <color rgb="FF000000"/>
      <name val="Calibri"/>
      <family val="2"/>
      <scheme val="minor"/>
    </font>
    <font>
      <sz val="11"/>
      <color theme="9" tint="-0.249977111117893"/>
      <name val="Calibri"/>
      <family val="2"/>
      <scheme val="minor"/>
    </font>
    <font>
      <b/>
      <sz val="11"/>
      <color theme="0"/>
      <name val="Calibri"/>
      <scheme val="minor"/>
    </font>
    <font>
      <b/>
      <sz val="11"/>
      <color theme="0"/>
      <name val="Calibri"/>
      <family val="2"/>
      <scheme val="minor"/>
    </font>
    <font>
      <b/>
      <sz val="11"/>
      <color rgb="FF242424"/>
      <name val="Aptos Narrow"/>
      <charset val="1"/>
    </font>
    <font>
      <b/>
      <sz val="12"/>
      <color theme="1"/>
      <name val="Calibri"/>
      <scheme val="minor"/>
    </font>
    <font>
      <b/>
      <sz val="15"/>
      <color theme="0"/>
      <name val="Calibri"/>
      <scheme val="minor"/>
    </font>
    <font>
      <sz val="11"/>
      <color theme="9" tint="-0.499984740745262"/>
      <name val="Calibri"/>
      <scheme val="minor"/>
    </font>
  </fonts>
  <fills count="5">
    <fill>
      <patternFill patternType="none"/>
    </fill>
    <fill>
      <patternFill patternType="gray125"/>
    </fill>
    <fill>
      <patternFill patternType="solid">
        <fgColor rgb="FF1B3A6B"/>
        <bgColor indexed="64"/>
      </patternFill>
    </fill>
    <fill>
      <patternFill patternType="solid">
        <fgColor rgb="FF2E75B6"/>
        <bgColor indexed="64"/>
      </patternFill>
    </fill>
    <fill>
      <patternFill patternType="solid">
        <fgColor theme="9"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87">
    <xf numFmtId="0" fontId="0" fillId="0" borderId="0" xfId="0"/>
    <xf numFmtId="0" fontId="0" fillId="0" borderId="1" xfId="0" applyBorder="1"/>
    <xf numFmtId="0" fontId="0" fillId="0" borderId="2" xfId="0" applyBorder="1" applyAlignment="1">
      <alignment wrapText="1"/>
    </xf>
    <xf numFmtId="0" fontId="0" fillId="0" borderId="6" xfId="0" applyBorder="1" applyAlignment="1">
      <alignment wrapText="1"/>
    </xf>
    <xf numFmtId="0" fontId="4" fillId="0" borderId="7" xfId="0" applyFont="1" applyBorder="1" applyAlignment="1">
      <alignment horizontal="right"/>
    </xf>
    <xf numFmtId="9" fontId="4" fillId="0" borderId="1" xfId="0" applyNumberFormat="1" applyFont="1" applyBorder="1"/>
    <xf numFmtId="0" fontId="0" fillId="0" borderId="4" xfId="0" applyBorder="1" applyAlignment="1"/>
    <xf numFmtId="165" fontId="2" fillId="0" borderId="3" xfId="0" applyNumberFormat="1" applyFont="1" applyBorder="1" applyAlignment="1">
      <alignment horizontal="right"/>
    </xf>
    <xf numFmtId="3" fontId="0" fillId="0" borderId="1" xfId="0" applyNumberFormat="1" applyBorder="1"/>
    <xf numFmtId="3" fontId="0" fillId="0" borderId="1" xfId="0" quotePrefix="1" applyNumberFormat="1" applyBorder="1"/>
    <xf numFmtId="164" fontId="0" fillId="0" borderId="1" xfId="0" applyNumberFormat="1" applyBorder="1" applyAlignment="1">
      <alignment horizontal="left"/>
    </xf>
    <xf numFmtId="0" fontId="0" fillId="0" borderId="1" xfId="0" applyBorder="1" applyAlignment="1">
      <alignment wrapText="1"/>
    </xf>
    <xf numFmtId="0" fontId="0" fillId="0" borderId="0" xfId="0" applyAlignment="1">
      <alignment wrapText="1"/>
    </xf>
    <xf numFmtId="0" fontId="5" fillId="0" borderId="0" xfId="0" applyFont="1" applyAlignment="1">
      <alignment wrapText="1"/>
    </xf>
    <xf numFmtId="0" fontId="5" fillId="0" borderId="0" xfId="0" applyFont="1" applyBorder="1" applyAlignment="1"/>
    <xf numFmtId="3" fontId="4" fillId="0" borderId="1" xfId="0" applyNumberFormat="1" applyFont="1" applyBorder="1"/>
    <xf numFmtId="0" fontId="0" fillId="0" borderId="1" xfId="0" applyBorder="1" applyAlignment="1">
      <alignment horizontal="center"/>
    </xf>
    <xf numFmtId="37" fontId="0" fillId="0" borderId="1" xfId="0" applyNumberFormat="1" applyBorder="1"/>
    <xf numFmtId="9" fontId="0" fillId="0" borderId="1" xfId="0" applyNumberFormat="1" applyBorder="1"/>
    <xf numFmtId="0" fontId="0" fillId="0" borderId="1" xfId="0" applyBorder="1" applyAlignment="1">
      <alignment horizontal="center" vertical="center"/>
    </xf>
    <xf numFmtId="0" fontId="14" fillId="0" borderId="3" xfId="0" applyFont="1" applyBorder="1" applyAlignment="1">
      <alignment horizontal="right"/>
    </xf>
    <xf numFmtId="0" fontId="13"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0" fillId="4" borderId="1" xfId="0" applyFill="1" applyBorder="1"/>
    <xf numFmtId="9" fontId="0" fillId="4" borderId="1" xfId="0" applyNumberFormat="1" applyFill="1" applyBorder="1"/>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xf>
    <xf numFmtId="0" fontId="12" fillId="3" borderId="10" xfId="0" applyFont="1" applyFill="1" applyBorder="1" applyAlignment="1">
      <alignment horizontal="center" vertical="center"/>
    </xf>
    <xf numFmtId="0" fontId="12" fillId="3" borderId="8" xfId="0" applyFont="1" applyFill="1" applyBorder="1" applyAlignment="1">
      <alignment horizontal="center" vertical="center"/>
    </xf>
    <xf numFmtId="0" fontId="2" fillId="0" borderId="3" xfId="0" applyFont="1" applyBorder="1" applyAlignment="1">
      <alignment horizontal="right" wrapText="1"/>
    </xf>
    <xf numFmtId="0" fontId="14" fillId="0" borderId="5" xfId="0" applyFont="1" applyBorder="1" applyAlignment="1">
      <alignment horizontal="center"/>
    </xf>
    <xf numFmtId="0" fontId="17" fillId="0" borderId="1" xfId="0" applyFont="1" applyBorder="1"/>
    <xf numFmtId="9" fontId="17" fillId="0" borderId="1" xfId="0" applyNumberFormat="1" applyFont="1" applyBorder="1"/>
    <xf numFmtId="165" fontId="17" fillId="0" borderId="1" xfId="0" applyNumberFormat="1" applyFont="1" applyBorder="1"/>
    <xf numFmtId="3" fontId="17" fillId="0" borderId="1" xfId="0" applyNumberFormat="1" applyFont="1" applyBorder="1"/>
    <xf numFmtId="3" fontId="17" fillId="0" borderId="12" xfId="0" applyNumberFormat="1" applyFont="1" applyBorder="1"/>
    <xf numFmtId="0" fontId="17" fillId="0" borderId="11" xfId="0" applyFont="1" applyBorder="1"/>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0" fontId="17" fillId="0" borderId="1" xfId="0" applyNumberFormat="1" applyFont="1" applyBorder="1"/>
    <xf numFmtId="166" fontId="3" fillId="0" borderId="3" xfId="0" applyNumberFormat="1" applyFont="1" applyBorder="1" applyAlignment="1">
      <alignment horizontal="right"/>
    </xf>
    <xf numFmtId="166" fontId="0" fillId="0" borderId="1" xfId="0" quotePrefix="1" applyNumberFormat="1" applyBorder="1"/>
    <xf numFmtId="166" fontId="0" fillId="0" borderId="1" xfId="0" applyNumberFormat="1" applyBorder="1"/>
    <xf numFmtId="166" fontId="13" fillId="3" borderId="1" xfId="0" applyNumberFormat="1" applyFont="1" applyFill="1" applyBorder="1" applyAlignment="1">
      <alignment horizontal="center" vertical="center" wrapText="1"/>
    </xf>
    <xf numFmtId="166" fontId="4" fillId="0" borderId="1" xfId="0" applyNumberFormat="1" applyFont="1" applyBorder="1"/>
    <xf numFmtId="166" fontId="0" fillId="4" borderId="1" xfId="0" applyNumberFormat="1" applyFill="1" applyBorder="1"/>
    <xf numFmtId="166" fontId="11" fillId="0" borderId="1" xfId="0" applyNumberFormat="1" applyFont="1" applyBorder="1"/>
    <xf numFmtId="166" fontId="10" fillId="0" borderId="1" xfId="0" applyNumberFormat="1" applyFont="1" applyBorder="1"/>
    <xf numFmtId="166" fontId="0" fillId="4" borderId="1" xfId="0" applyNumberFormat="1" applyFill="1" applyBorder="1" applyAlignment="1">
      <alignment wrapText="1"/>
    </xf>
    <xf numFmtId="166" fontId="0" fillId="0" borderId="1" xfId="0" applyNumberFormat="1" applyBorder="1" applyAlignment="1">
      <alignment horizontal="center" wrapText="1"/>
    </xf>
    <xf numFmtId="166" fontId="0" fillId="0" borderId="1" xfId="0" applyNumberFormat="1" applyBorder="1" applyAlignment="1">
      <alignment horizontal="center"/>
    </xf>
    <xf numFmtId="166" fontId="0" fillId="0" borderId="0" xfId="0" applyNumberFormat="1"/>
    <xf numFmtId="166" fontId="13" fillId="3" borderId="1" xfId="0" applyNumberFormat="1" applyFont="1" applyFill="1" applyBorder="1" applyAlignment="1">
      <alignment horizontal="center" vertical="center"/>
    </xf>
    <xf numFmtId="5" fontId="13" fillId="3" borderId="1" xfId="0" applyNumberFormat="1" applyFont="1" applyFill="1" applyBorder="1" applyAlignment="1">
      <alignment horizontal="center" vertical="center"/>
    </xf>
    <xf numFmtId="5" fontId="0" fillId="0" borderId="1" xfId="0" applyNumberFormat="1" applyBorder="1"/>
    <xf numFmtId="5" fontId="0" fillId="0" borderId="0" xfId="0" applyNumberFormat="1"/>
    <xf numFmtId="166" fontId="17" fillId="0" borderId="1" xfId="0" applyNumberFormat="1" applyFont="1" applyBorder="1"/>
    <xf numFmtId="166" fontId="17" fillId="0" borderId="13" xfId="0" applyNumberFormat="1" applyFont="1" applyBorder="1" applyAlignment="1">
      <alignment horizontal="center" vertical="top"/>
    </xf>
    <xf numFmtId="166" fontId="17" fillId="0" borderId="12" xfId="0" applyNumberFormat="1" applyFont="1" applyBorder="1"/>
    <xf numFmtId="0" fontId="5" fillId="0" borderId="0" xfId="0" applyFont="1" applyAlignment="1">
      <alignment horizontal="center" wrapText="1"/>
    </xf>
    <xf numFmtId="0" fontId="8" fillId="0" borderId="0" xfId="0" applyFont="1" applyAlignment="1">
      <alignment horizontal="center" vertical="center" wrapText="1"/>
    </xf>
    <xf numFmtId="0" fontId="5" fillId="4" borderId="0" xfId="0" applyFont="1" applyFill="1" applyAlignment="1">
      <alignment horizontal="center"/>
    </xf>
    <xf numFmtId="0" fontId="6" fillId="0" borderId="0" xfId="0" applyFont="1" applyAlignment="1">
      <alignment horizontal="left" vertical="center" wrapText="1"/>
    </xf>
    <xf numFmtId="0" fontId="8" fillId="0" borderId="0" xfId="0" applyFont="1" applyAlignment="1">
      <alignment horizontal="center" vertical="top" wrapText="1"/>
    </xf>
    <xf numFmtId="0" fontId="16" fillId="2" borderId="0" xfId="0" applyFont="1" applyFill="1" applyAlignment="1">
      <alignment horizontal="center" vertical="center" wrapText="1"/>
    </xf>
    <xf numFmtId="0" fontId="15" fillId="0" borderId="0" xfId="0" applyFont="1" applyAlignment="1">
      <alignment horizontal="center"/>
    </xf>
    <xf numFmtId="0" fontId="15" fillId="0" borderId="0" xfId="0" applyFont="1" applyAlignment="1">
      <alignment horizontal="center" wrapText="1"/>
    </xf>
    <xf numFmtId="0" fontId="12" fillId="3" borderId="1" xfId="0" applyFont="1" applyFill="1" applyBorder="1" applyAlignment="1">
      <alignment horizontal="center"/>
    </xf>
    <xf numFmtId="0" fontId="5" fillId="0" borderId="0" xfId="0" applyFont="1" applyAlignment="1">
      <alignment horizontal="center"/>
    </xf>
    <xf numFmtId="0" fontId="9" fillId="0" borderId="0" xfId="0" applyFont="1" applyAlignment="1">
      <alignment horizontal="center" vertical="center" wrapText="1"/>
    </xf>
    <xf numFmtId="0" fontId="0" fillId="4" borderId="3" xfId="0" applyFill="1" applyBorder="1" applyAlignment="1">
      <alignment horizontal="center"/>
    </xf>
    <xf numFmtId="0" fontId="0" fillId="4" borderId="2" xfId="0" applyFill="1" applyBorder="1" applyAlignment="1">
      <alignment horizontal="center"/>
    </xf>
    <xf numFmtId="0" fontId="1" fillId="0" borderId="0" xfId="0" applyFont="1" applyAlignment="1"/>
    <xf numFmtId="0" fontId="1" fillId="0" borderId="0" xfId="0" applyFont="1" applyAlignment="1">
      <alignment vertical="top" wrapText="1"/>
    </xf>
    <xf numFmtId="0" fontId="1" fillId="0" borderId="0" xfId="0" applyFont="1"/>
    <xf numFmtId="0" fontId="1" fillId="0" borderId="1" xfId="0" applyFont="1" applyBorder="1"/>
    <xf numFmtId="166" fontId="1" fillId="0" borderId="0" xfId="0" applyNumberFormat="1" applyFont="1"/>
    <xf numFmtId="0" fontId="1" fillId="4" borderId="1" xfId="0" applyFont="1" applyFill="1" applyBorder="1" applyAlignment="1">
      <alignment horizontal="center"/>
    </xf>
    <xf numFmtId="9" fontId="1" fillId="0" borderId="1" xfId="0" applyNumberFormat="1" applyFont="1" applyBorder="1"/>
    <xf numFmtId="0" fontId="1" fillId="0" borderId="14" xfId="0" applyFont="1" applyBorder="1" applyAlignment="1">
      <alignment horizontal="center" vertical="top"/>
    </xf>
    <xf numFmtId="0" fontId="1" fillId="0" borderId="15" xfId="0" applyFont="1" applyBorder="1" applyAlignment="1">
      <alignment horizontal="center" vertical="top"/>
    </xf>
    <xf numFmtId="0" fontId="1" fillId="4" borderId="13" xfId="0" applyFont="1" applyFill="1" applyBorder="1" applyAlignment="1">
      <alignment horizontal="center"/>
    </xf>
    <xf numFmtId="0" fontId="1" fillId="4" borderId="14" xfId="0" applyFont="1" applyFill="1" applyBorder="1" applyAlignment="1">
      <alignment horizontal="center"/>
    </xf>
    <xf numFmtId="9" fontId="1" fillId="0" borderId="14" xfId="0" applyNumberFormat="1" applyFont="1" applyBorder="1"/>
    <xf numFmtId="166" fontId="1" fillId="0" borderId="15" xfId="0" applyNumberFormat="1" applyFont="1" applyBorder="1"/>
  </cellXfs>
  <cellStyles count="1">
    <cellStyle name="Normal" xfId="0" builtinId="0"/>
  </cellStyles>
  <dxfs count="1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right"/>
    </dxf>
    <dxf>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left style="medium">
          <color rgb="FF000000"/>
        </left>
        <right style="medium">
          <color rgb="FF000000"/>
        </right>
        <top style="medium">
          <color rgb="FF000000"/>
        </top>
        <bottom style="medium">
          <color rgb="FF000000"/>
        </bottom>
      </border>
    </dxf>
    <dxf>
      <font>
        <color rgb="FF9C0006"/>
      </font>
      <fill>
        <patternFill>
          <bgColor rgb="FFFFC7CE"/>
        </patternFill>
      </fill>
    </dxf>
    <dxf>
      <font>
        <color rgb="FF006100"/>
      </font>
      <fill>
        <patternFill>
          <bgColor rgb="FFC6EFCE"/>
        </patternFill>
      </fill>
    </dxf>
  </dxfs>
  <tableStyles count="0" defaultTableStyle="TableStyleMedium2" defaultPivotStyle="PivotStyleMedium9"/>
  <colors>
    <mruColors>
      <color rgb="FF2E75B6"/>
      <color rgb="FF1B3A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F6BC8-AA47-45C4-8B4C-DEDCEAB53E94}" name="Table1" displayName="Table1" ref="A1:B8" totalsRowShown="0" headerRowBorderDxfId="9" tableBorderDxfId="10" totalsRowBorderDxfId="8">
  <autoFilter ref="A1:B8" xr:uid="{15CF6BC8-AA47-45C4-8B4C-DEDCEAB53E94}">
    <filterColumn colId="0" hiddenButton="1"/>
    <filterColumn colId="1" hiddenButton="1"/>
  </autoFilter>
  <tableColumns count="2">
    <tableColumn id="1" xr3:uid="{D677DFD6-EC9D-45F1-B02B-6A36DF48F4E1}" name="Company name:" dataDxfId="7"/>
    <tableColumn id="2" xr3:uid="{4A8E3716-BCEE-4642-B956-226121CBC893}" name="ABC Industrial Solutions"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D16"/>
  <sheetViews>
    <sheetView workbookViewId="0">
      <selection activeCell="D13" sqref="D13:D15"/>
    </sheetView>
  </sheetViews>
  <sheetFormatPr defaultRowHeight="15"/>
  <cols>
    <col min="1" max="4" width="22.7109375" customWidth="1"/>
  </cols>
  <sheetData>
    <row r="1" spans="1:4">
      <c r="A1" s="6" t="s">
        <v>0</v>
      </c>
      <c r="B1" s="32" t="s">
        <v>1</v>
      </c>
    </row>
    <row r="2" spans="1:4">
      <c r="A2" s="2" t="s">
        <v>2</v>
      </c>
      <c r="B2" s="20" t="s">
        <v>3</v>
      </c>
    </row>
    <row r="3" spans="1:4" ht="42.75" customHeight="1">
      <c r="A3" s="2" t="s">
        <v>4</v>
      </c>
      <c r="B3" s="31" t="s">
        <v>5</v>
      </c>
    </row>
    <row r="4" spans="1:4">
      <c r="A4" s="2" t="s">
        <v>6</v>
      </c>
      <c r="B4" s="42">
        <v>5000000</v>
      </c>
    </row>
    <row r="5" spans="1:4">
      <c r="A5" s="2" t="s">
        <v>7</v>
      </c>
      <c r="B5" s="42">
        <v>3800000</v>
      </c>
    </row>
    <row r="6" spans="1:4">
      <c r="A6" s="2" t="s">
        <v>8</v>
      </c>
      <c r="B6" s="7">
        <v>45839</v>
      </c>
    </row>
    <row r="7" spans="1:4">
      <c r="A7" s="2" t="s">
        <v>9</v>
      </c>
      <c r="B7" s="7">
        <v>46387</v>
      </c>
    </row>
    <row r="8" spans="1:4">
      <c r="A8" s="3" t="s">
        <v>10</v>
      </c>
      <c r="B8" s="4">
        <v>4</v>
      </c>
    </row>
    <row r="11" spans="1:4">
      <c r="A11" s="21" t="s">
        <v>11</v>
      </c>
      <c r="B11" s="21" t="s">
        <v>12</v>
      </c>
      <c r="C11" s="21" t="s">
        <v>13</v>
      </c>
      <c r="D11" s="21" t="s">
        <v>14</v>
      </c>
    </row>
    <row r="12" spans="1:4">
      <c r="A12" s="1" t="s">
        <v>15</v>
      </c>
      <c r="B12" s="1" t="s">
        <v>16</v>
      </c>
      <c r="C12" s="5">
        <v>0.1</v>
      </c>
      <c r="D12" s="43">
        <f>$B$4*C12</f>
        <v>500000</v>
      </c>
    </row>
    <row r="13" spans="1:4">
      <c r="A13" s="1" t="s">
        <v>17</v>
      </c>
      <c r="B13" s="1" t="s">
        <v>18</v>
      </c>
      <c r="C13" s="5">
        <v>0.2</v>
      </c>
      <c r="D13" s="9">
        <f t="shared" ref="D13:D15" si="0">$B$4*C13</f>
        <v>1000000</v>
      </c>
    </row>
    <row r="14" spans="1:4">
      <c r="A14" s="1" t="s">
        <v>19</v>
      </c>
      <c r="B14" s="1" t="s">
        <v>20</v>
      </c>
      <c r="C14" s="5">
        <v>0.4</v>
      </c>
      <c r="D14" s="9">
        <f t="shared" si="0"/>
        <v>2000000</v>
      </c>
    </row>
    <row r="15" spans="1:4">
      <c r="A15" s="1" t="s">
        <v>21</v>
      </c>
      <c r="B15" s="1" t="s">
        <v>22</v>
      </c>
      <c r="C15" s="5">
        <v>0.3</v>
      </c>
      <c r="D15" s="9">
        <f t="shared" si="0"/>
        <v>1500000</v>
      </c>
    </row>
    <row r="16" spans="1:4">
      <c r="A16" s="72" t="s">
        <v>23</v>
      </c>
      <c r="B16" s="73"/>
      <c r="C16" s="19" t="str">
        <f>IF(SUM(C12:C15)=100%, "VALID", "ERROR")</f>
        <v>VALID</v>
      </c>
      <c r="D16" s="44">
        <f>SUM(D12:D15)</f>
        <v>5000000</v>
      </c>
    </row>
  </sheetData>
  <mergeCells count="1">
    <mergeCell ref="A16:B16"/>
  </mergeCells>
  <conditionalFormatting sqref="C16">
    <cfRule type="containsText" dxfId="12" priority="2" operator="containsText" text="VALID">
      <formula>NOT(ISERROR(SEARCH("VALID",C16)))</formula>
    </cfRule>
  </conditionalFormatting>
  <conditionalFormatting sqref="C16">
    <cfRule type="containsText" dxfId="11" priority="1" operator="containsText" text="ERROR">
      <formula>NOT(ISERROR(SEARCH("ERROR",C16)))</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18E1-6C26-4405-B1A2-75B7F2A1035B}">
  <sheetPr>
    <tabColor theme="1" tint="0.499984740745262"/>
  </sheetPr>
  <dimension ref="A1:J20"/>
  <sheetViews>
    <sheetView workbookViewId="0">
      <selection activeCell="B3" sqref="B3"/>
    </sheetView>
  </sheetViews>
  <sheetFormatPr defaultRowHeight="15"/>
  <cols>
    <col min="1" max="4" width="15.7109375" customWidth="1"/>
    <col min="5" max="9" width="15.7109375" style="53" customWidth="1"/>
    <col min="10" max="10" width="15.7109375" customWidth="1"/>
  </cols>
  <sheetData>
    <row r="1" spans="1:10" ht="45" customHeight="1">
      <c r="A1" s="21" t="s">
        <v>24</v>
      </c>
      <c r="B1" s="45" t="s">
        <v>25</v>
      </c>
      <c r="C1" s="45" t="s">
        <v>26</v>
      </c>
      <c r="D1" s="22" t="s">
        <v>27</v>
      </c>
      <c r="E1" s="45" t="s">
        <v>28</v>
      </c>
      <c r="F1" s="45" t="s">
        <v>29</v>
      </c>
      <c r="G1" s="45" t="s">
        <v>30</v>
      </c>
      <c r="H1" s="45" t="s">
        <v>31</v>
      </c>
      <c r="I1" s="45" t="s">
        <v>32</v>
      </c>
      <c r="J1" s="21" t="s">
        <v>33</v>
      </c>
    </row>
    <row r="2" spans="1:10">
      <c r="A2" s="10">
        <v>45839</v>
      </c>
      <c r="B2" s="46">
        <v>75000</v>
      </c>
      <c r="C2" s="44">
        <f>SUM($B$2:B2)</f>
        <v>75000</v>
      </c>
      <c r="D2" s="18">
        <f>C2/'CONTRACT SETUP'!$B$5</f>
        <v>1.9736842105263157E-2</v>
      </c>
      <c r="E2" s="44">
        <f>D2*'CONTRACT SETUP'!$B$4</f>
        <v>98684.210526315786</v>
      </c>
      <c r="F2" s="44">
        <f>E2</f>
        <v>98684.210526315786</v>
      </c>
      <c r="G2" s="48">
        <f>'CONTRACT SETUP'!D12</f>
        <v>500000</v>
      </c>
      <c r="H2" s="44">
        <f>SUM($G$2:G2)</f>
        <v>500000</v>
      </c>
      <c r="I2" s="56">
        <f>E2-H2</f>
        <v>-401315.78947368421</v>
      </c>
      <c r="J2" s="11" t="str">
        <f>IF(I2&gt;0,"Contract Asset",IF(I2&lt;0,"Contract Liability", "Balanced"))</f>
        <v>Contract Liability</v>
      </c>
    </row>
    <row r="3" spans="1:10">
      <c r="A3" s="10">
        <v>45871</v>
      </c>
      <c r="B3" s="15">
        <v>150000</v>
      </c>
      <c r="C3" s="8">
        <f>SUM($B$2:B3)</f>
        <v>225000</v>
      </c>
      <c r="D3" s="18">
        <f>C3/'CONTRACT SETUP'!$B$5</f>
        <v>5.921052631578947E-2</v>
      </c>
      <c r="E3" s="8">
        <f>D3*'CONTRACT SETUP'!$B$4</f>
        <v>296052.63157894736</v>
      </c>
      <c r="F3" s="8">
        <f>E3-E2</f>
        <v>197368.42105263157</v>
      </c>
      <c r="G3" s="49">
        <v>0</v>
      </c>
      <c r="H3" s="8">
        <f>SUM($G$2:G3)</f>
        <v>500000</v>
      </c>
      <c r="I3" s="17">
        <f>E3-H3</f>
        <v>-203947.36842105264</v>
      </c>
      <c r="J3" s="11" t="str">
        <f t="shared" ref="J3:J20" si="0">IF(I3&gt;0,"Contract Asset",IF(I3&lt;0,"Contract Liability", "Balanced"))</f>
        <v>Contract Liability</v>
      </c>
    </row>
    <row r="4" spans="1:10">
      <c r="A4" s="10">
        <v>45903</v>
      </c>
      <c r="B4" s="15">
        <v>173000</v>
      </c>
      <c r="C4" s="8">
        <f>SUM($B$2:B4)</f>
        <v>398000</v>
      </c>
      <c r="D4" s="18">
        <f>C4/'CONTRACT SETUP'!$B$5</f>
        <v>0.10473684210526316</v>
      </c>
      <c r="E4" s="8">
        <f>D4*'CONTRACT SETUP'!$B$4</f>
        <v>523684.21052631579</v>
      </c>
      <c r="F4" s="8">
        <f t="shared" ref="F4:F19" si="1">E4-E3</f>
        <v>227631.57894736843</v>
      </c>
      <c r="G4" s="49">
        <v>0</v>
      </c>
      <c r="H4" s="8">
        <f>SUM($G$2:G4)</f>
        <v>500000</v>
      </c>
      <c r="I4" s="17">
        <f>E4-H4</f>
        <v>23684.210526315786</v>
      </c>
      <c r="J4" s="11" t="str">
        <f t="shared" si="0"/>
        <v>Contract Asset</v>
      </c>
    </row>
    <row r="5" spans="1:10">
      <c r="A5" s="10">
        <v>45935</v>
      </c>
      <c r="B5" s="15">
        <v>210000</v>
      </c>
      <c r="C5" s="8">
        <f>SUM($B$2:B5)</f>
        <v>608000</v>
      </c>
      <c r="D5" s="18">
        <f>C5/'CONTRACT SETUP'!$B$5</f>
        <v>0.16</v>
      </c>
      <c r="E5" s="8">
        <f>D5*'CONTRACT SETUP'!$B$4</f>
        <v>800000</v>
      </c>
      <c r="F5" s="8">
        <f t="shared" si="1"/>
        <v>276315.78947368421</v>
      </c>
      <c r="G5" s="49">
        <v>0</v>
      </c>
      <c r="H5" s="8">
        <f>SUM($G$2:G5)</f>
        <v>500000</v>
      </c>
      <c r="I5" s="17">
        <f t="shared" ref="I5:I19" si="2">E5-H5</f>
        <v>300000</v>
      </c>
      <c r="J5" s="11" t="str">
        <f t="shared" si="0"/>
        <v>Contract Asset</v>
      </c>
    </row>
    <row r="6" spans="1:10">
      <c r="A6" s="10">
        <v>45967</v>
      </c>
      <c r="B6" s="15">
        <v>260000</v>
      </c>
      <c r="C6" s="8">
        <f>SUM($B$2:B6)</f>
        <v>868000</v>
      </c>
      <c r="D6" s="18">
        <f>C6/'CONTRACT SETUP'!$B$5</f>
        <v>0.22842105263157894</v>
      </c>
      <c r="E6" s="8">
        <f>D6*'CONTRACT SETUP'!$B$4</f>
        <v>1142105.2631578946</v>
      </c>
      <c r="F6" s="8">
        <f t="shared" si="1"/>
        <v>342105.2631578946</v>
      </c>
      <c r="G6" s="49">
        <v>0</v>
      </c>
      <c r="H6" s="8">
        <f>SUM($G$2:G6)</f>
        <v>500000</v>
      </c>
      <c r="I6" s="17">
        <f t="shared" si="2"/>
        <v>642105.2631578946</v>
      </c>
      <c r="J6" s="11" t="str">
        <f t="shared" si="0"/>
        <v>Contract Asset</v>
      </c>
    </row>
    <row r="7" spans="1:10">
      <c r="A7" s="10">
        <v>45999</v>
      </c>
      <c r="B7" s="15">
        <v>285000</v>
      </c>
      <c r="C7" s="8">
        <f>SUM($B$2:B7)</f>
        <v>1153000</v>
      </c>
      <c r="D7" s="18">
        <f>C7/'CONTRACT SETUP'!$B$5</f>
        <v>0.30342105263157892</v>
      </c>
      <c r="E7" s="8">
        <f>D7*'CONTRACT SETUP'!$B$4</f>
        <v>1517105.2631578946</v>
      </c>
      <c r="F7" s="8">
        <f t="shared" si="1"/>
        <v>375000</v>
      </c>
      <c r="G7" s="48">
        <f>'CONTRACT SETUP'!D13</f>
        <v>1000000</v>
      </c>
      <c r="H7" s="44">
        <f>SUM($G$2:G7)</f>
        <v>1500000</v>
      </c>
      <c r="I7" s="17">
        <f t="shared" si="2"/>
        <v>17105.263157894602</v>
      </c>
      <c r="J7" s="11" t="str">
        <f t="shared" si="0"/>
        <v>Contract Asset</v>
      </c>
    </row>
    <row r="8" spans="1:10">
      <c r="A8" s="10">
        <v>46031</v>
      </c>
      <c r="B8" s="15">
        <v>350000</v>
      </c>
      <c r="C8" s="8">
        <f>SUM($B$2:B8)</f>
        <v>1503000</v>
      </c>
      <c r="D8" s="18">
        <f>C8/'CONTRACT SETUP'!$B$5</f>
        <v>0.39552631578947367</v>
      </c>
      <c r="E8" s="8">
        <f>D8*'CONTRACT SETUP'!$B$4</f>
        <v>1977631.5789473683</v>
      </c>
      <c r="F8" s="8">
        <f t="shared" si="1"/>
        <v>460526.31578947371</v>
      </c>
      <c r="G8" s="49">
        <v>0</v>
      </c>
      <c r="H8" s="8">
        <f>SUM($G$2:G8)</f>
        <v>1500000</v>
      </c>
      <c r="I8" s="17">
        <f t="shared" si="2"/>
        <v>477631.57894736831</v>
      </c>
      <c r="J8" s="11" t="str">
        <f t="shared" si="0"/>
        <v>Contract Asset</v>
      </c>
    </row>
    <row r="9" spans="1:10">
      <c r="A9" s="10">
        <v>46063</v>
      </c>
      <c r="B9" s="15">
        <v>360000</v>
      </c>
      <c r="C9" s="8">
        <f>SUM($B$2:B9)</f>
        <v>1863000</v>
      </c>
      <c r="D9" s="18">
        <f>C9/'CONTRACT SETUP'!$B$5</f>
        <v>0.49026315789473685</v>
      </c>
      <c r="E9" s="8">
        <f>D9*'CONTRACT SETUP'!$B$4</f>
        <v>2451315.789473684</v>
      </c>
      <c r="F9" s="8">
        <f t="shared" si="1"/>
        <v>473684.21052631573</v>
      </c>
      <c r="G9" s="49">
        <v>0</v>
      </c>
      <c r="H9" s="8">
        <f>SUM($G$2:G9)</f>
        <v>1500000</v>
      </c>
      <c r="I9" s="17">
        <f t="shared" si="2"/>
        <v>951315.78947368404</v>
      </c>
      <c r="J9" s="11" t="str">
        <f t="shared" si="0"/>
        <v>Contract Asset</v>
      </c>
    </row>
    <row r="10" spans="1:10">
      <c r="A10" s="10">
        <v>46095</v>
      </c>
      <c r="B10" s="15">
        <v>380000</v>
      </c>
      <c r="C10" s="8">
        <f>SUM($B$2:B10)</f>
        <v>2243000</v>
      </c>
      <c r="D10" s="18">
        <f>C10/'CONTRACT SETUP'!$B$5</f>
        <v>0.59026315789473682</v>
      </c>
      <c r="E10" s="8">
        <f>D10*'CONTRACT SETUP'!$B$4</f>
        <v>2951315.789473684</v>
      </c>
      <c r="F10" s="8">
        <f t="shared" si="1"/>
        <v>500000</v>
      </c>
      <c r="G10" s="49">
        <v>0</v>
      </c>
      <c r="H10" s="8">
        <f>SUM($G$2:G10)</f>
        <v>1500000</v>
      </c>
      <c r="I10" s="17">
        <f t="shared" si="2"/>
        <v>1451315.789473684</v>
      </c>
      <c r="J10" s="11" t="str">
        <f t="shared" si="0"/>
        <v>Contract Asset</v>
      </c>
    </row>
    <row r="11" spans="1:10">
      <c r="A11" s="10">
        <v>46127</v>
      </c>
      <c r="B11" s="15">
        <v>350000</v>
      </c>
      <c r="C11" s="8">
        <f>SUM($B$2:B11)</f>
        <v>2593000</v>
      </c>
      <c r="D11" s="18">
        <f>C11/'CONTRACT SETUP'!$B$5</f>
        <v>0.68236842105263162</v>
      </c>
      <c r="E11" s="8">
        <f>D11*'CONTRACT SETUP'!$B$4</f>
        <v>3411842.1052631582</v>
      </c>
      <c r="F11" s="8">
        <f t="shared" si="1"/>
        <v>460526.31578947417</v>
      </c>
      <c r="G11" s="49">
        <v>0</v>
      </c>
      <c r="H11" s="8">
        <f>SUM($G$2:G11)</f>
        <v>1500000</v>
      </c>
      <c r="I11" s="17">
        <f t="shared" si="2"/>
        <v>1911842.1052631582</v>
      </c>
      <c r="J11" s="11" t="str">
        <f t="shared" si="0"/>
        <v>Contract Asset</v>
      </c>
    </row>
    <row r="12" spans="1:10">
      <c r="A12" s="10">
        <v>46159</v>
      </c>
      <c r="B12" s="15">
        <v>300000</v>
      </c>
      <c r="C12" s="8">
        <f>SUM($B$2:B12)</f>
        <v>2893000</v>
      </c>
      <c r="D12" s="18">
        <f>C12/'CONTRACT SETUP'!$B$5</f>
        <v>0.76131578947368417</v>
      </c>
      <c r="E12" s="8">
        <f>D12*'CONTRACT SETUP'!$B$4</f>
        <v>3806578.9473684207</v>
      </c>
      <c r="F12" s="8">
        <f t="shared" si="1"/>
        <v>394736.84210526245</v>
      </c>
      <c r="G12" s="48">
        <f>'CONTRACT SETUP'!D14</f>
        <v>2000000</v>
      </c>
      <c r="H12" s="44">
        <f>SUM($G$2:G12)</f>
        <v>3500000</v>
      </c>
      <c r="I12" s="17">
        <f t="shared" si="2"/>
        <v>306578.94736842066</v>
      </c>
      <c r="J12" s="11" t="str">
        <f t="shared" si="0"/>
        <v>Contract Asset</v>
      </c>
    </row>
    <row r="13" spans="1:10">
      <c r="A13" s="10">
        <v>46191</v>
      </c>
      <c r="B13" s="15">
        <v>210000</v>
      </c>
      <c r="C13" s="8">
        <f>SUM($B$2:B13)</f>
        <v>3103000</v>
      </c>
      <c r="D13" s="18">
        <f>C13/'CONTRACT SETUP'!$B$5</f>
        <v>0.81657894736842107</v>
      </c>
      <c r="E13" s="8">
        <f>D13*'CONTRACT SETUP'!$B$4</f>
        <v>4082894.7368421052</v>
      </c>
      <c r="F13" s="8">
        <f t="shared" si="1"/>
        <v>276315.7894736845</v>
      </c>
      <c r="G13" s="49">
        <v>0</v>
      </c>
      <c r="H13" s="8">
        <f>SUM($G$2:G13)</f>
        <v>3500000</v>
      </c>
      <c r="I13" s="17">
        <f t="shared" si="2"/>
        <v>582894.73684210517</v>
      </c>
      <c r="J13" s="11" t="str">
        <f t="shared" si="0"/>
        <v>Contract Asset</v>
      </c>
    </row>
    <row r="14" spans="1:10">
      <c r="A14" s="10">
        <v>46223</v>
      </c>
      <c r="B14" s="15">
        <v>180000</v>
      </c>
      <c r="C14" s="8">
        <f>SUM($B$2:B14)</f>
        <v>3283000</v>
      </c>
      <c r="D14" s="18">
        <f>C14/'CONTRACT SETUP'!$B$5</f>
        <v>0.86394736842105269</v>
      </c>
      <c r="E14" s="8">
        <f>D14*'CONTRACT SETUP'!$B$4</f>
        <v>4319736.8421052638</v>
      </c>
      <c r="F14" s="8">
        <f t="shared" si="1"/>
        <v>236842.10526315868</v>
      </c>
      <c r="G14" s="49">
        <v>0</v>
      </c>
      <c r="H14" s="8">
        <f>SUM($G$2:G14)</f>
        <v>3500000</v>
      </c>
      <c r="I14" s="17">
        <f t="shared" si="2"/>
        <v>819736.84210526384</v>
      </c>
      <c r="J14" s="11" t="str">
        <f t="shared" si="0"/>
        <v>Contract Asset</v>
      </c>
    </row>
    <row r="15" spans="1:10">
      <c r="A15" s="10">
        <v>46255</v>
      </c>
      <c r="B15" s="15">
        <v>150000</v>
      </c>
      <c r="C15" s="8">
        <f>SUM($B$2:B15)</f>
        <v>3433000</v>
      </c>
      <c r="D15" s="18">
        <f>C15/'CONTRACT SETUP'!$B$5</f>
        <v>0.9034210526315789</v>
      </c>
      <c r="E15" s="8">
        <f>D15*'CONTRACT SETUP'!$B$4</f>
        <v>4517105.2631578948</v>
      </c>
      <c r="F15" s="8">
        <f t="shared" si="1"/>
        <v>197368.42105263099</v>
      </c>
      <c r="G15" s="49">
        <v>0</v>
      </c>
      <c r="H15" s="8">
        <f>SUM($G$2:G15)</f>
        <v>3500000</v>
      </c>
      <c r="I15" s="17">
        <f t="shared" si="2"/>
        <v>1017105.2631578948</v>
      </c>
      <c r="J15" s="11" t="str">
        <f t="shared" si="0"/>
        <v>Contract Asset</v>
      </c>
    </row>
    <row r="16" spans="1:10">
      <c r="A16" s="10">
        <v>46287</v>
      </c>
      <c r="B16" s="15">
        <v>140000</v>
      </c>
      <c r="C16" s="8">
        <f>SUM($B$2:B16)</f>
        <v>3573000</v>
      </c>
      <c r="D16" s="18">
        <f>C16/'CONTRACT SETUP'!$B$5</f>
        <v>0.9402631578947368</v>
      </c>
      <c r="E16" s="8">
        <f>D16*'CONTRACT SETUP'!$B$4</f>
        <v>4701315.7894736836</v>
      </c>
      <c r="F16" s="8">
        <f t="shared" si="1"/>
        <v>184210.52631578874</v>
      </c>
      <c r="G16" s="49">
        <v>0</v>
      </c>
      <c r="H16" s="8">
        <f>SUM($G$2:G16)</f>
        <v>3500000</v>
      </c>
      <c r="I16" s="17">
        <f t="shared" si="2"/>
        <v>1201315.7894736836</v>
      </c>
      <c r="J16" s="11" t="str">
        <f t="shared" si="0"/>
        <v>Contract Asset</v>
      </c>
    </row>
    <row r="17" spans="1:10">
      <c r="A17" s="10">
        <v>46319</v>
      </c>
      <c r="B17" s="15">
        <v>107000</v>
      </c>
      <c r="C17" s="8">
        <f>SUM($B$2:B17)</f>
        <v>3680000</v>
      </c>
      <c r="D17" s="18">
        <f>C17/'CONTRACT SETUP'!$B$5</f>
        <v>0.96842105263157896</v>
      </c>
      <c r="E17" s="8">
        <f>D17*'CONTRACT SETUP'!$B$4</f>
        <v>4842105.2631578948</v>
      </c>
      <c r="F17" s="8">
        <f t="shared" si="1"/>
        <v>140789.47368421126</v>
      </c>
      <c r="G17" s="48">
        <f>'CONTRACT SETUP'!D15</f>
        <v>1500000</v>
      </c>
      <c r="H17" s="44">
        <f>SUM($G$2:G17)</f>
        <v>5000000</v>
      </c>
      <c r="I17" s="17">
        <f t="shared" si="2"/>
        <v>-157894.73684210517</v>
      </c>
      <c r="J17" s="11" t="str">
        <f t="shared" si="0"/>
        <v>Contract Liability</v>
      </c>
    </row>
    <row r="18" spans="1:10">
      <c r="A18" s="10">
        <v>46351</v>
      </c>
      <c r="B18" s="15">
        <v>70000</v>
      </c>
      <c r="C18" s="8">
        <f>SUM($B$2:B18)</f>
        <v>3750000</v>
      </c>
      <c r="D18" s="18">
        <f>C18/'CONTRACT SETUP'!$B$5</f>
        <v>0.98684210526315785</v>
      </c>
      <c r="E18" s="8">
        <f>D18*'CONTRACT SETUP'!$B$4</f>
        <v>4934210.5263157897</v>
      </c>
      <c r="F18" s="8">
        <f t="shared" si="1"/>
        <v>92105.263157894835</v>
      </c>
      <c r="G18" s="49">
        <v>0</v>
      </c>
      <c r="H18" s="8">
        <f>SUM($G$2:G18)</f>
        <v>5000000</v>
      </c>
      <c r="I18" s="17">
        <f t="shared" si="2"/>
        <v>-65789.47368421033</v>
      </c>
      <c r="J18" s="11" t="str">
        <f t="shared" si="0"/>
        <v>Contract Liability</v>
      </c>
    </row>
    <row r="19" spans="1:10">
      <c r="A19" s="10">
        <v>46383</v>
      </c>
      <c r="B19" s="15">
        <v>50000</v>
      </c>
      <c r="C19" s="8">
        <f>SUM($B$2:B19)</f>
        <v>3800000</v>
      </c>
      <c r="D19" s="18">
        <f>C19/'CONTRACT SETUP'!$B$5</f>
        <v>1</v>
      </c>
      <c r="E19" s="8">
        <f>D19*'CONTRACT SETUP'!$B$4</f>
        <v>5000000</v>
      </c>
      <c r="F19" s="8">
        <f t="shared" si="1"/>
        <v>65789.47368421033</v>
      </c>
      <c r="G19" s="49">
        <v>0</v>
      </c>
      <c r="H19" s="8">
        <f>SUM($G$2:G19)</f>
        <v>5000000</v>
      </c>
      <c r="I19" s="44">
        <f t="shared" si="2"/>
        <v>0</v>
      </c>
      <c r="J19" s="11" t="str">
        <f t="shared" si="0"/>
        <v>Balanced</v>
      </c>
    </row>
    <row r="20" spans="1:10">
      <c r="A20" s="23" t="s">
        <v>34</v>
      </c>
      <c r="B20" s="47">
        <f>SUM(B2:B19)</f>
        <v>3800000</v>
      </c>
      <c r="C20" s="47">
        <f>C19</f>
        <v>3800000</v>
      </c>
      <c r="D20" s="24">
        <f>D19</f>
        <v>1</v>
      </c>
      <c r="E20" s="50">
        <f>E19</f>
        <v>5000000</v>
      </c>
      <c r="F20" s="51" t="str">
        <f>IF(SUM(F2:F19)='CONTRACT SETUP'!B4, "VALID", "ERROR")</f>
        <v>VALID</v>
      </c>
      <c r="G20" s="52" t="str">
        <f>IF(SUM(G2:G19)='CONTRACT SETUP'!B4, "VALID", "ERROR")</f>
        <v>VALID</v>
      </c>
      <c r="H20" s="47">
        <f>H19</f>
        <v>5000000</v>
      </c>
      <c r="I20" s="51" t="str">
        <f>IF((I19) = 0, "VALID", "ERROR")</f>
        <v>VALID</v>
      </c>
      <c r="J20" s="11"/>
    </row>
  </sheetData>
  <conditionalFormatting sqref="F20">
    <cfRule type="containsText" dxfId="5" priority="6" operator="containsText" text="VALID">
      <formula>NOT(ISERROR(SEARCH("VALID",F20)))</formula>
    </cfRule>
  </conditionalFormatting>
  <conditionalFormatting sqref="F20">
    <cfRule type="containsText" dxfId="4" priority="5" operator="containsText" text="ERROR">
      <formula>NOT(ISERROR(SEARCH("ERROR",F20)))</formula>
    </cfRule>
  </conditionalFormatting>
  <conditionalFormatting sqref="G20">
    <cfRule type="containsText" dxfId="3" priority="4" operator="containsText" text="VALID">
      <formula>NOT(ISERROR(SEARCH("VALID",G20)))</formula>
    </cfRule>
  </conditionalFormatting>
  <conditionalFormatting sqref="G20">
    <cfRule type="containsText" dxfId="2" priority="3" operator="containsText" text="ERROR">
      <formula>NOT(ISERROR(SEARCH("ERROR",G20)))</formula>
    </cfRule>
  </conditionalFormatting>
  <conditionalFormatting sqref="I20">
    <cfRule type="containsText" dxfId="1" priority="2" operator="containsText" text="VALID">
      <formula>NOT(ISERROR(SEARCH("VALID",I20)))</formula>
    </cfRule>
  </conditionalFormatting>
  <conditionalFormatting sqref="I20">
    <cfRule type="containsText" dxfId="0" priority="1" operator="containsText" text="ERROR">
      <formula>NOT(ISERROR(SEARCH("ERROR",I20)))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AF2B-DFD9-4046-AA0B-0A874CDA3591}">
  <sheetPr>
    <tabColor theme="1" tint="0.499984740745262"/>
  </sheetPr>
  <dimension ref="A1:E20"/>
  <sheetViews>
    <sheetView workbookViewId="0">
      <selection activeCell="N16" sqref="N16"/>
    </sheetView>
  </sheetViews>
  <sheetFormatPr defaultRowHeight="15"/>
  <cols>
    <col min="1" max="1" width="18.7109375" customWidth="1"/>
    <col min="2" max="3" width="18.7109375" style="53" customWidth="1"/>
    <col min="4" max="4" width="18.7109375" style="57" customWidth="1"/>
    <col min="5" max="5" width="18.7109375" customWidth="1"/>
  </cols>
  <sheetData>
    <row r="1" spans="1:5" ht="45.75">
      <c r="A1" s="21" t="s">
        <v>24</v>
      </c>
      <c r="B1" s="45" t="s">
        <v>25</v>
      </c>
      <c r="C1" s="54" t="s">
        <v>35</v>
      </c>
      <c r="D1" s="55" t="s">
        <v>36</v>
      </c>
      <c r="E1" s="21" t="s">
        <v>37</v>
      </c>
    </row>
    <row r="2" spans="1:5">
      <c r="A2" s="10">
        <v>45839</v>
      </c>
      <c r="B2" s="46">
        <v>75000</v>
      </c>
      <c r="C2" s="46">
        <v>85000</v>
      </c>
      <c r="D2" s="56">
        <f>C2-B2</f>
        <v>10000</v>
      </c>
      <c r="E2" s="16" t="str">
        <f>IF(C2&lt;=B2, "🟢", IF(C2&lt;=B2*1.05, "🟡", "🔴"))</f>
        <v>🔴</v>
      </c>
    </row>
    <row r="3" spans="1:5">
      <c r="A3" s="10">
        <v>45871</v>
      </c>
      <c r="B3" s="15">
        <v>150000</v>
      </c>
      <c r="C3" s="15">
        <v>140000</v>
      </c>
      <c r="D3" s="17">
        <f>C3-B3</f>
        <v>-10000</v>
      </c>
      <c r="E3" s="16" t="str">
        <f t="shared" ref="E3:E20" si="0">IF(C3&lt;=B3, "🟢", IF(C3&lt;=B3*1.05, "🟡", "🔴"))</f>
        <v>🟢</v>
      </c>
    </row>
    <row r="4" spans="1:5">
      <c r="A4" s="10">
        <v>45903</v>
      </c>
      <c r="B4" s="15">
        <v>173000</v>
      </c>
      <c r="C4" s="15">
        <v>193000</v>
      </c>
      <c r="D4" s="17">
        <f t="shared" ref="D3:D20" si="1">C4-B4</f>
        <v>20000</v>
      </c>
      <c r="E4" s="16" t="str">
        <f t="shared" si="0"/>
        <v>🔴</v>
      </c>
    </row>
    <row r="5" spans="1:5">
      <c r="A5" s="10">
        <v>45935</v>
      </c>
      <c r="B5" s="15">
        <v>210000</v>
      </c>
      <c r="C5" s="15">
        <v>200000</v>
      </c>
      <c r="D5" s="17">
        <f t="shared" si="1"/>
        <v>-10000</v>
      </c>
      <c r="E5" s="16" t="str">
        <f t="shared" si="0"/>
        <v>🟢</v>
      </c>
    </row>
    <row r="6" spans="1:5">
      <c r="A6" s="10">
        <v>45967</v>
      </c>
      <c r="B6" s="15">
        <v>260000</v>
      </c>
      <c r="C6" s="15">
        <v>250000</v>
      </c>
      <c r="D6" s="17">
        <f t="shared" si="1"/>
        <v>-10000</v>
      </c>
      <c r="E6" s="16" t="str">
        <f t="shared" si="0"/>
        <v>🟢</v>
      </c>
    </row>
    <row r="7" spans="1:5">
      <c r="A7" s="10">
        <v>45999</v>
      </c>
      <c r="B7" s="15">
        <v>285000</v>
      </c>
      <c r="C7" s="15">
        <v>305000</v>
      </c>
      <c r="D7" s="17">
        <f t="shared" si="1"/>
        <v>20000</v>
      </c>
      <c r="E7" s="16" t="str">
        <f t="shared" si="0"/>
        <v>🔴</v>
      </c>
    </row>
    <row r="8" spans="1:5">
      <c r="A8" s="10">
        <v>46031</v>
      </c>
      <c r="B8" s="15">
        <v>350000</v>
      </c>
      <c r="C8" s="15">
        <v>350000</v>
      </c>
      <c r="D8" s="17">
        <f t="shared" si="1"/>
        <v>0</v>
      </c>
      <c r="E8" s="16" t="str">
        <f t="shared" si="0"/>
        <v>🟢</v>
      </c>
    </row>
    <row r="9" spans="1:5">
      <c r="A9" s="10">
        <v>46063</v>
      </c>
      <c r="B9" s="15">
        <v>360000</v>
      </c>
      <c r="C9" s="15">
        <v>320000</v>
      </c>
      <c r="D9" s="17">
        <f t="shared" si="1"/>
        <v>-40000</v>
      </c>
      <c r="E9" s="16" t="str">
        <f t="shared" si="0"/>
        <v>🟢</v>
      </c>
    </row>
    <row r="10" spans="1:5">
      <c r="A10" s="10">
        <v>46095</v>
      </c>
      <c r="B10" s="15">
        <v>380000</v>
      </c>
      <c r="C10" s="15">
        <v>380000</v>
      </c>
      <c r="D10" s="17">
        <f t="shared" si="1"/>
        <v>0</v>
      </c>
      <c r="E10" s="16" t="str">
        <f t="shared" si="0"/>
        <v>🟢</v>
      </c>
    </row>
    <row r="11" spans="1:5">
      <c r="A11" s="10">
        <v>46127</v>
      </c>
      <c r="B11" s="15">
        <v>350000</v>
      </c>
      <c r="C11" s="15">
        <v>360000</v>
      </c>
      <c r="D11" s="17">
        <f t="shared" si="1"/>
        <v>10000</v>
      </c>
      <c r="E11" s="16" t="str">
        <f t="shared" si="0"/>
        <v>🟡</v>
      </c>
    </row>
    <row r="12" spans="1:5">
      <c r="A12" s="10">
        <v>46159</v>
      </c>
      <c r="B12" s="15">
        <v>300000</v>
      </c>
      <c r="C12" s="15">
        <v>310000</v>
      </c>
      <c r="D12" s="17">
        <f t="shared" si="1"/>
        <v>10000</v>
      </c>
      <c r="E12" s="16" t="str">
        <f t="shared" si="0"/>
        <v>🟡</v>
      </c>
    </row>
    <row r="13" spans="1:5">
      <c r="A13" s="10">
        <v>46191</v>
      </c>
      <c r="B13" s="15">
        <v>210000</v>
      </c>
      <c r="C13" s="15">
        <v>220000</v>
      </c>
      <c r="D13" s="17">
        <f t="shared" si="1"/>
        <v>10000</v>
      </c>
      <c r="E13" s="16" t="str">
        <f t="shared" si="0"/>
        <v>🟡</v>
      </c>
    </row>
    <row r="14" spans="1:5">
      <c r="A14" s="10">
        <v>46223</v>
      </c>
      <c r="B14" s="15">
        <v>180000</v>
      </c>
      <c r="C14" s="15">
        <v>160000</v>
      </c>
      <c r="D14" s="17">
        <f t="shared" si="1"/>
        <v>-20000</v>
      </c>
      <c r="E14" s="16" t="str">
        <f t="shared" si="0"/>
        <v>🟢</v>
      </c>
    </row>
    <row r="15" spans="1:5">
      <c r="A15" s="10">
        <v>46255</v>
      </c>
      <c r="B15" s="15">
        <v>150000</v>
      </c>
      <c r="C15" s="15">
        <v>140000</v>
      </c>
      <c r="D15" s="17">
        <f t="shared" si="1"/>
        <v>-10000</v>
      </c>
      <c r="E15" s="16" t="str">
        <f t="shared" si="0"/>
        <v>🟢</v>
      </c>
    </row>
    <row r="16" spans="1:5">
      <c r="A16" s="10">
        <v>46287</v>
      </c>
      <c r="B16" s="15">
        <v>140000</v>
      </c>
      <c r="C16" s="15">
        <v>170000</v>
      </c>
      <c r="D16" s="17">
        <f t="shared" si="1"/>
        <v>30000</v>
      </c>
      <c r="E16" s="16" t="str">
        <f t="shared" si="0"/>
        <v>🔴</v>
      </c>
    </row>
    <row r="17" spans="1:5">
      <c r="A17" s="10">
        <v>46319</v>
      </c>
      <c r="B17" s="15">
        <v>107000</v>
      </c>
      <c r="C17" s="15">
        <v>110000</v>
      </c>
      <c r="D17" s="17">
        <f t="shared" si="1"/>
        <v>3000</v>
      </c>
      <c r="E17" s="16" t="str">
        <f t="shared" si="0"/>
        <v>🟡</v>
      </c>
    </row>
    <row r="18" spans="1:5">
      <c r="A18" s="10">
        <v>46351</v>
      </c>
      <c r="B18" s="15">
        <v>70000</v>
      </c>
      <c r="C18" s="15">
        <v>80000</v>
      </c>
      <c r="D18" s="17">
        <f t="shared" si="1"/>
        <v>10000</v>
      </c>
      <c r="E18" s="16" t="str">
        <f t="shared" si="0"/>
        <v>🔴</v>
      </c>
    </row>
    <row r="19" spans="1:5">
      <c r="A19" s="10">
        <v>46383</v>
      </c>
      <c r="B19" s="15">
        <v>50000</v>
      </c>
      <c r="C19" s="15">
        <v>27000</v>
      </c>
      <c r="D19" s="17">
        <f t="shared" si="1"/>
        <v>-23000</v>
      </c>
      <c r="E19" s="16" t="str">
        <f t="shared" si="0"/>
        <v>🟢</v>
      </c>
    </row>
    <row r="20" spans="1:5">
      <c r="A20" s="23" t="s">
        <v>38</v>
      </c>
      <c r="B20" s="47">
        <f>SUM(B2:B19)</f>
        <v>3800000</v>
      </c>
      <c r="C20" s="47">
        <f>SUM(C2:C19)</f>
        <v>3800000</v>
      </c>
      <c r="D20" s="56">
        <f t="shared" si="1"/>
        <v>0</v>
      </c>
      <c r="E20" s="16" t="str">
        <f t="shared" si="0"/>
        <v>🟢</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73FA9-0FD2-4E5E-910E-EC1004CEB711}">
  <sheetPr>
    <tabColor theme="9" tint="-0.249977111117893"/>
  </sheetPr>
  <dimension ref="A1:K43"/>
  <sheetViews>
    <sheetView showGridLines="0" tabSelected="1" topLeftCell="A28" workbookViewId="0">
      <selection activeCell="A7" sqref="A7"/>
    </sheetView>
  </sheetViews>
  <sheetFormatPr defaultRowHeight="15"/>
  <cols>
    <col min="1" max="6" width="21.7109375" customWidth="1"/>
    <col min="7" max="7" width="17.85546875" customWidth="1"/>
    <col min="8" max="9" width="36.5703125" bestFit="1" customWidth="1"/>
    <col min="11" max="11" width="36.5703125" bestFit="1" customWidth="1"/>
  </cols>
  <sheetData>
    <row r="1" spans="1:11" ht="38.25" customHeight="1">
      <c r="A1" s="66" t="s">
        <v>39</v>
      </c>
      <c r="B1" s="66"/>
      <c r="C1" s="66"/>
      <c r="D1" s="66"/>
      <c r="E1" s="66"/>
      <c r="F1" s="66"/>
      <c r="G1" s="74"/>
    </row>
    <row r="2" spans="1:11" ht="15.75">
      <c r="A2" s="67" t="s">
        <v>40</v>
      </c>
      <c r="B2" s="67"/>
      <c r="C2" s="67"/>
      <c r="D2" s="67"/>
      <c r="E2" s="67"/>
      <c r="F2" s="67"/>
      <c r="G2" s="74"/>
    </row>
    <row r="3" spans="1:11" ht="55.5" customHeight="1">
      <c r="A3" s="65" t="s">
        <v>41</v>
      </c>
      <c r="B3" s="65"/>
      <c r="C3" s="65"/>
      <c r="D3" s="65"/>
      <c r="E3" s="65"/>
      <c r="F3" s="65"/>
      <c r="G3" s="75"/>
    </row>
    <row r="4" spans="1:11">
      <c r="A4" s="25" t="s">
        <v>42</v>
      </c>
      <c r="B4" s="25" t="s">
        <v>43</v>
      </c>
      <c r="C4" s="25" t="s">
        <v>44</v>
      </c>
      <c r="D4" s="25" t="s">
        <v>45</v>
      </c>
      <c r="E4" s="25" t="s">
        <v>46</v>
      </c>
      <c r="F4" s="25" t="s">
        <v>47</v>
      </c>
      <c r="G4" s="76"/>
      <c r="K4" s="12"/>
    </row>
    <row r="5" spans="1:11">
      <c r="A5" s="33" t="str">
        <f>'CONTRACT SETUP'!B2</f>
        <v>XYZ Manufacturing Corp</v>
      </c>
      <c r="B5" s="33" t="str">
        <f>Table1[[#Headers],[ABC Industrial Solutions]]</f>
        <v>ABC Industrial Solutions</v>
      </c>
      <c r="C5" s="58">
        <f>'CONTRACT SETUP'!B4</f>
        <v>5000000</v>
      </c>
      <c r="D5" s="35">
        <f>'CONTRACT SETUP'!B6</f>
        <v>45839</v>
      </c>
      <c r="E5" s="35">
        <f>'CONTRACT SETUP'!B7</f>
        <v>46387</v>
      </c>
      <c r="F5" s="77" t="s">
        <v>48</v>
      </c>
      <c r="G5" s="76"/>
    </row>
    <row r="6" spans="1:11">
      <c r="A6" s="76"/>
      <c r="B6" s="76"/>
      <c r="C6" s="76"/>
      <c r="D6" s="76"/>
      <c r="E6" s="76"/>
      <c r="F6" s="76"/>
      <c r="G6" s="76"/>
    </row>
    <row r="7" spans="1:11">
      <c r="A7" s="76"/>
      <c r="B7" s="76"/>
      <c r="C7" s="76"/>
      <c r="D7" s="76"/>
      <c r="E7" s="76"/>
      <c r="F7" s="76"/>
      <c r="G7" s="76"/>
    </row>
    <row r="8" spans="1:11" s="12" customFormat="1" ht="22.5" customHeight="1">
      <c r="A8" s="68" t="s">
        <v>49</v>
      </c>
      <c r="B8" s="68"/>
      <c r="C8" s="68"/>
      <c r="D8" s="68"/>
      <c r="E8" s="68"/>
      <c r="F8" s="68"/>
      <c r="G8" s="13"/>
    </row>
    <row r="9" spans="1:11" ht="39.75" customHeight="1">
      <c r="A9" s="65" t="s">
        <v>50</v>
      </c>
      <c r="B9" s="65"/>
      <c r="C9" s="65"/>
      <c r="D9" s="65"/>
      <c r="E9" s="65"/>
      <c r="F9" s="65"/>
      <c r="G9" s="75"/>
    </row>
    <row r="10" spans="1:11">
      <c r="A10" s="25" t="s">
        <v>11</v>
      </c>
      <c r="B10" s="25" t="s">
        <v>51</v>
      </c>
      <c r="C10" s="26" t="s">
        <v>52</v>
      </c>
      <c r="D10" s="76"/>
      <c r="E10" s="76"/>
      <c r="F10" s="78"/>
      <c r="G10" s="76"/>
    </row>
    <row r="11" spans="1:11">
      <c r="A11" s="33" t="str">
        <f>'CONTRACT SETUP'!A12</f>
        <v>M1</v>
      </c>
      <c r="B11" s="33" t="str">
        <f>'CONTRACT SETUP'!B12</f>
        <v>Contract Signing</v>
      </c>
      <c r="C11" s="34">
        <f>'CONTRACT SETUP'!C12</f>
        <v>0.1</v>
      </c>
      <c r="D11" s="76"/>
      <c r="E11" s="76"/>
      <c r="F11" s="76"/>
      <c r="G11" s="76"/>
    </row>
    <row r="12" spans="1:11">
      <c r="A12" s="33" t="str">
        <f>'CONTRACT SETUP'!A13</f>
        <v>M2</v>
      </c>
      <c r="B12" s="33" t="str">
        <f>'CONTRACT SETUP'!B13</f>
        <v>Design Approval</v>
      </c>
      <c r="C12" s="34">
        <f>'CONTRACT SETUP'!C13</f>
        <v>0.2</v>
      </c>
      <c r="D12" s="76"/>
      <c r="E12" s="76"/>
      <c r="F12" s="76"/>
      <c r="G12" s="76"/>
    </row>
    <row r="13" spans="1:11">
      <c r="A13" s="33" t="str">
        <f>'CONTRACT SETUP'!A14</f>
        <v>M3</v>
      </c>
      <c r="B13" s="33" t="str">
        <f>'CONTRACT SETUP'!B14</f>
        <v>Testing Complete</v>
      </c>
      <c r="C13" s="34">
        <f>'CONTRACT SETUP'!C14</f>
        <v>0.4</v>
      </c>
      <c r="D13" s="76"/>
      <c r="E13" s="76"/>
      <c r="F13" s="76"/>
      <c r="G13" s="76"/>
    </row>
    <row r="14" spans="1:11">
      <c r="A14" s="33" t="s">
        <v>21</v>
      </c>
      <c r="B14" s="33" t="str">
        <f>'CONTRACT SETUP'!B15</f>
        <v>Final Delivery</v>
      </c>
      <c r="C14" s="34">
        <f>'CONTRACT SETUP'!C15</f>
        <v>0.3</v>
      </c>
      <c r="D14" s="76"/>
      <c r="E14" s="76"/>
      <c r="F14" s="76"/>
      <c r="G14" s="76"/>
    </row>
    <row r="15" spans="1:11">
      <c r="A15" s="79" t="s">
        <v>38</v>
      </c>
      <c r="B15" s="79"/>
      <c r="C15" s="80">
        <f>SUM(C11:C14)</f>
        <v>1</v>
      </c>
      <c r="D15" s="76"/>
      <c r="E15" s="76"/>
      <c r="F15" s="76"/>
      <c r="G15" s="76"/>
      <c r="I15" s="12"/>
    </row>
    <row r="16" spans="1:11">
      <c r="A16" s="76"/>
      <c r="B16" s="76"/>
      <c r="C16" s="76"/>
      <c r="D16" s="76"/>
      <c r="E16" s="76"/>
      <c r="F16" s="76"/>
      <c r="G16" s="76"/>
    </row>
    <row r="17" spans="1:8">
      <c r="A17" s="76"/>
      <c r="B17" s="76"/>
      <c r="C17" s="76"/>
      <c r="D17" s="76"/>
      <c r="E17" s="76"/>
      <c r="F17" s="76"/>
      <c r="G17" s="76"/>
    </row>
    <row r="18" spans="1:8" ht="16.5" customHeight="1">
      <c r="A18" s="68" t="s">
        <v>53</v>
      </c>
      <c r="B18" s="68"/>
      <c r="C18" s="68"/>
      <c r="D18" s="68"/>
      <c r="E18" s="68"/>
      <c r="F18" s="68"/>
      <c r="G18" s="76"/>
    </row>
    <row r="19" spans="1:8" ht="53.25" customHeight="1">
      <c r="A19" s="71" t="s">
        <v>54</v>
      </c>
      <c r="B19" s="71"/>
      <c r="C19" s="71"/>
      <c r="D19" s="71"/>
      <c r="E19" s="71"/>
      <c r="F19" s="71"/>
      <c r="G19" s="76"/>
    </row>
    <row r="20" spans="1:8" ht="15" customHeight="1">
      <c r="A20" s="27" t="s">
        <v>44</v>
      </c>
      <c r="B20" s="28" t="s">
        <v>55</v>
      </c>
      <c r="C20" s="28" t="s">
        <v>56</v>
      </c>
      <c r="D20" s="29" t="s">
        <v>57</v>
      </c>
      <c r="E20" s="76"/>
      <c r="F20" s="76"/>
      <c r="G20" s="76"/>
    </row>
    <row r="21" spans="1:8">
      <c r="A21" s="59">
        <f>'CONTRACT SETUP'!B4</f>
        <v>5000000</v>
      </c>
      <c r="B21" s="81" t="s">
        <v>58</v>
      </c>
      <c r="C21" s="81" t="s">
        <v>59</v>
      </c>
      <c r="D21" s="82" t="s">
        <v>60</v>
      </c>
      <c r="E21" s="76"/>
      <c r="F21" s="76"/>
      <c r="G21" s="76"/>
    </row>
    <row r="22" spans="1:8">
      <c r="A22" s="76"/>
      <c r="B22" s="76"/>
      <c r="C22" s="76"/>
      <c r="D22" s="76"/>
      <c r="E22" s="76"/>
      <c r="F22" s="76"/>
      <c r="G22" s="76"/>
    </row>
    <row r="23" spans="1:8">
      <c r="A23" s="76"/>
      <c r="B23" s="76"/>
      <c r="C23" s="76"/>
      <c r="D23" s="76"/>
      <c r="E23" s="76"/>
      <c r="F23" s="76"/>
      <c r="G23" s="76"/>
      <c r="H23" s="12"/>
    </row>
    <row r="24" spans="1:8" ht="19.5" customHeight="1">
      <c r="A24" s="61" t="s">
        <v>61</v>
      </c>
      <c r="B24" s="61"/>
      <c r="C24" s="61"/>
      <c r="D24" s="61"/>
      <c r="E24" s="61"/>
      <c r="F24" s="61"/>
      <c r="G24" s="76"/>
    </row>
    <row r="25" spans="1:8" ht="45.75" customHeight="1">
      <c r="A25" s="62" t="s">
        <v>62</v>
      </c>
      <c r="B25" s="62"/>
      <c r="C25" s="62"/>
      <c r="D25" s="62"/>
      <c r="E25" s="62"/>
      <c r="F25" s="62"/>
      <c r="G25" s="76"/>
    </row>
    <row r="26" spans="1:8">
      <c r="A26" s="30" t="s">
        <v>11</v>
      </c>
      <c r="B26" s="28" t="s">
        <v>51</v>
      </c>
      <c r="C26" s="28" t="s">
        <v>63</v>
      </c>
      <c r="D26" s="29" t="s">
        <v>64</v>
      </c>
      <c r="E26" s="76"/>
      <c r="F26" s="76"/>
      <c r="G26" s="76"/>
    </row>
    <row r="27" spans="1:8">
      <c r="A27" s="38" t="str">
        <f>'CONTRACT SETUP'!A12</f>
        <v>M1</v>
      </c>
      <c r="B27" s="33" t="str">
        <f>'CONTRACT SETUP'!B12</f>
        <v>Contract Signing</v>
      </c>
      <c r="C27" s="34">
        <f>'CONTRACT SETUP'!C12</f>
        <v>0.1</v>
      </c>
      <c r="D27" s="60">
        <f>'CONTRACT SETUP'!D12</f>
        <v>500000</v>
      </c>
      <c r="E27" s="76"/>
      <c r="F27" s="76"/>
      <c r="G27" s="76"/>
    </row>
    <row r="28" spans="1:8">
      <c r="A28" s="38" t="str">
        <f>'CONTRACT SETUP'!A13</f>
        <v>M2</v>
      </c>
      <c r="B28" s="33" t="str">
        <f>'CONTRACT SETUP'!B13</f>
        <v>Design Approval</v>
      </c>
      <c r="C28" s="34">
        <f>'CONTRACT SETUP'!C13</f>
        <v>0.2</v>
      </c>
      <c r="D28" s="37">
        <f>'CONTRACT SETUP'!D13</f>
        <v>1000000</v>
      </c>
      <c r="E28" s="76"/>
      <c r="F28" s="76"/>
      <c r="G28" s="76"/>
    </row>
    <row r="29" spans="1:8">
      <c r="A29" s="38" t="str">
        <f>'CONTRACT SETUP'!A14</f>
        <v>M3</v>
      </c>
      <c r="B29" s="33" t="str">
        <f>'CONTRACT SETUP'!B14</f>
        <v>Testing Complete</v>
      </c>
      <c r="C29" s="34">
        <f>'CONTRACT SETUP'!C14</f>
        <v>0.4</v>
      </c>
      <c r="D29" s="37">
        <f>'CONTRACT SETUP'!D14</f>
        <v>2000000</v>
      </c>
      <c r="E29" s="76"/>
      <c r="F29" s="76"/>
      <c r="G29" s="76"/>
    </row>
    <row r="30" spans="1:8">
      <c r="A30" s="38" t="str">
        <f>'CONTRACT SETUP'!A15</f>
        <v>M4</v>
      </c>
      <c r="B30" s="33" t="str">
        <f>'CONTRACT SETUP'!B15</f>
        <v>Final Delivery</v>
      </c>
      <c r="C30" s="34">
        <f>'CONTRACT SETUP'!C15</f>
        <v>0.3</v>
      </c>
      <c r="D30" s="37">
        <f>'CONTRACT SETUP'!D15</f>
        <v>1500000</v>
      </c>
      <c r="E30" s="76"/>
      <c r="F30" s="76"/>
      <c r="G30" s="76"/>
    </row>
    <row r="31" spans="1:8">
      <c r="A31" s="83" t="s">
        <v>38</v>
      </c>
      <c r="B31" s="84"/>
      <c r="C31" s="85">
        <f>SUM(C27:C30)</f>
        <v>1</v>
      </c>
      <c r="D31" s="86">
        <f>SUM(D27:D30)</f>
        <v>5000000</v>
      </c>
      <c r="E31" s="76"/>
      <c r="F31" s="76"/>
      <c r="G31" s="76"/>
    </row>
    <row r="32" spans="1:8">
      <c r="A32" s="76"/>
      <c r="B32" s="76"/>
      <c r="C32" s="76"/>
      <c r="D32" s="76"/>
      <c r="E32" s="76"/>
      <c r="F32" s="76"/>
      <c r="G32" s="76"/>
    </row>
    <row r="33" spans="1:8">
      <c r="A33" s="76"/>
      <c r="B33" s="76"/>
      <c r="C33" s="76"/>
      <c r="D33" s="76"/>
      <c r="E33" s="76"/>
      <c r="F33" s="76"/>
      <c r="G33" s="76"/>
      <c r="H33" s="12"/>
    </row>
    <row r="34" spans="1:8" ht="17.25" customHeight="1">
      <c r="A34" s="61" t="s">
        <v>65</v>
      </c>
      <c r="B34" s="61"/>
      <c r="C34" s="61"/>
      <c r="D34" s="61"/>
      <c r="E34" s="61"/>
      <c r="F34" s="61"/>
      <c r="G34" s="76"/>
    </row>
    <row r="35" spans="1:8" ht="50.25" customHeight="1">
      <c r="A35" s="62" t="s">
        <v>66</v>
      </c>
      <c r="B35" s="62"/>
      <c r="C35" s="62"/>
      <c r="D35" s="62"/>
      <c r="E35" s="62"/>
      <c r="F35" s="62"/>
      <c r="G35" s="76"/>
    </row>
    <row r="36" spans="1:8">
      <c r="A36" s="69" t="s">
        <v>67</v>
      </c>
      <c r="B36" s="69"/>
      <c r="C36" s="69"/>
      <c r="D36" s="69"/>
      <c r="E36" s="14"/>
      <c r="F36" s="14"/>
      <c r="G36" s="76"/>
    </row>
    <row r="37" spans="1:8" ht="30.75">
      <c r="A37" s="39" t="s">
        <v>27</v>
      </c>
      <c r="B37" s="40" t="s">
        <v>68</v>
      </c>
      <c r="C37" s="40" t="s">
        <v>31</v>
      </c>
      <c r="D37" s="39" t="s">
        <v>32</v>
      </c>
      <c r="E37" s="76"/>
      <c r="F37" s="76"/>
      <c r="G37" s="76"/>
    </row>
    <row r="38" spans="1:8">
      <c r="A38" s="41">
        <f>'REVENUE RECOGNITION SCHEDULE'!D19</f>
        <v>1</v>
      </c>
      <c r="B38" s="36">
        <f>'REVENUE RECOGNITION SCHEDULE'!E19</f>
        <v>5000000</v>
      </c>
      <c r="C38" s="36">
        <f>'REVENUE RECOGNITION SCHEDULE'!H19</f>
        <v>5000000</v>
      </c>
      <c r="D38" s="36">
        <f>'REVENUE RECOGNITION SCHEDULE'!I19</f>
        <v>0</v>
      </c>
      <c r="E38" s="76"/>
      <c r="F38" s="76"/>
      <c r="G38" s="76"/>
    </row>
    <row r="39" spans="1:8">
      <c r="A39" s="76"/>
      <c r="B39" s="76"/>
      <c r="C39" s="76"/>
      <c r="D39" s="76"/>
      <c r="E39" s="76"/>
      <c r="F39" s="76"/>
      <c r="G39" s="76"/>
    </row>
    <row r="40" spans="1:8">
      <c r="A40" s="76"/>
      <c r="B40" s="76"/>
      <c r="C40" s="76"/>
      <c r="D40" s="76"/>
      <c r="E40" s="76"/>
      <c r="F40" s="76"/>
      <c r="G40" s="76"/>
    </row>
    <row r="41" spans="1:8">
      <c r="A41" s="70"/>
      <c r="B41" s="70"/>
      <c r="C41" s="70"/>
      <c r="D41" s="70"/>
      <c r="E41" s="70"/>
      <c r="F41" s="70"/>
      <c r="G41" s="76"/>
    </row>
    <row r="42" spans="1:8">
      <c r="A42" s="63" t="str">
        <f>IF(I19&gt;0,"Contract Asset — Revenue recognized exceeds billings. Customer owes outstanding balance.",IF(X1&lt;0,"Contract Liability — Billings exceed revenue recognized. Performance obligation outstanding.","Balanced — Revenue recognized equals billings. Contract fully settled."))</f>
        <v>Balanced — Revenue recognized equals billings. Contract fully settled.</v>
      </c>
      <c r="B42" s="63"/>
      <c r="C42" s="63"/>
      <c r="D42" s="63"/>
      <c r="E42" s="63"/>
      <c r="F42" s="63"/>
      <c r="G42" s="76"/>
    </row>
    <row r="43" spans="1:8" ht="27.75" customHeight="1">
      <c r="A43" s="64" t="s">
        <v>69</v>
      </c>
      <c r="B43" s="64"/>
      <c r="C43" s="64"/>
      <c r="D43" s="64"/>
      <c r="E43" s="64"/>
      <c r="F43" s="64"/>
    </row>
  </sheetData>
  <mergeCells count="17">
    <mergeCell ref="A1:F1"/>
    <mergeCell ref="A9:F9"/>
    <mergeCell ref="A2:F2"/>
    <mergeCell ref="A8:F8"/>
    <mergeCell ref="A36:D36"/>
    <mergeCell ref="A31:B31"/>
    <mergeCell ref="A34:F34"/>
    <mergeCell ref="A35:F35"/>
    <mergeCell ref="A15:B15"/>
    <mergeCell ref="A18:F18"/>
    <mergeCell ref="A19:F19"/>
    <mergeCell ref="A24:F24"/>
    <mergeCell ref="A25:F25"/>
    <mergeCell ref="A42:F42"/>
    <mergeCell ref="A43:F43"/>
    <mergeCell ref="A3:F3"/>
    <mergeCell ref="A41:F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Ekaterina Kucherova</cp:lastModifiedBy>
  <cp:revision/>
  <dcterms:created xsi:type="dcterms:W3CDTF">2026-05-01T19:21:11Z</dcterms:created>
  <dcterms:modified xsi:type="dcterms:W3CDTF">2026-05-03T15:36:18Z</dcterms:modified>
  <cp:category/>
  <cp:contentStatus/>
</cp:coreProperties>
</file>
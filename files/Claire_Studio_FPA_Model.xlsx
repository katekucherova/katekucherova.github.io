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8"/>
  <workbookPr/>
  <xr:revisionPtr revIDLastSave="0" documentId="8_{60E37F07-186F-4E9A-AD3E-FFD4EA9DC341}" xr6:coauthVersionLast="47" xr6:coauthVersionMax="47" xr10:uidLastSave="{00000000-0000-0000-0000-000000000000}"/>
  <bookViews>
    <workbookView xWindow="0" yWindow="0" windowWidth="16384" windowHeight="8192" tabRatio="500" firstSheet="5" activeTab="4" xr2:uid="{00000000-000D-0000-FFFF-FFFF00000000}"/>
  </bookViews>
  <sheets>
    <sheet name="Navigation" sheetId="1" r:id="rId1"/>
    <sheet name="Business_Overview" sheetId="2" r:id="rId2"/>
    <sheet name="Management_Dashboard" sheetId="3" r:id="rId3"/>
    <sheet name="Monthly_P&amp;L" sheetId="4" r:id="rId4"/>
    <sheet name="Annual_KPIs" sheetId="5" r:id="rId5"/>
    <sheet name="Budget_vs_Actual" sheetId="6" r:id="rId6"/>
    <sheet name="Variance_Commentary" sheetId="7" r:id="rId7"/>
    <sheet name="Second_Hall_BreakEven" sheetId="8" r:id="rId8"/>
    <sheet name="Management_Financials" sheetId="9" r:id="rId9"/>
    <sheet name="Cost_Per_Class_Model" sheetId="10" r:id="rId10"/>
    <sheet name="Accounting_Treatment" sheetId="11" r:id="rId11"/>
    <sheet name="Journal_Entries" sheetId="12" r:id="rId12"/>
    <sheet name="Budget_Assumptions" sheetId="13" r:id="rId13"/>
    <sheet name="Inventory_Rollforward" sheetId="14" r:id="rId14"/>
    <sheet name="Fixed_Asset_Depreciation" sheetId="15" r:id="rId15"/>
    <sheet name="Model_Data" sheetId="16" r:id="rId16"/>
  </sheets>
  <calcPr calcId="191028" iterateCount="0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1" i="15" l="1"/>
  <c r="D11" i="15"/>
  <c r="C11" i="15"/>
  <c r="B11" i="15"/>
  <c r="E8" i="15"/>
  <c r="C8" i="15"/>
  <c r="F6" i="15"/>
  <c r="G6" i="15" s="1"/>
  <c r="H6" i="15" s="1"/>
  <c r="F5" i="15"/>
  <c r="F20" i="14"/>
  <c r="M56" i="13"/>
  <c r="L56" i="13"/>
  <c r="K56" i="13"/>
  <c r="J56" i="13"/>
  <c r="I56" i="13"/>
  <c r="H56" i="13"/>
  <c r="G56" i="13"/>
  <c r="F56" i="13"/>
  <c r="E56" i="13"/>
  <c r="D56" i="13"/>
  <c r="C56" i="13"/>
  <c r="B56" i="13"/>
  <c r="N56" i="13" s="1"/>
  <c r="M55" i="13"/>
  <c r="L55" i="13"/>
  <c r="K55" i="13"/>
  <c r="J55" i="13"/>
  <c r="I55" i="13"/>
  <c r="H55" i="13"/>
  <c r="G55" i="13"/>
  <c r="F55" i="13"/>
  <c r="E55" i="13"/>
  <c r="D55" i="13"/>
  <c r="C55" i="13"/>
  <c r="B55" i="13"/>
  <c r="N55" i="13" s="1"/>
  <c r="M54" i="13"/>
  <c r="L54" i="13"/>
  <c r="K54" i="13"/>
  <c r="J54" i="13"/>
  <c r="I54" i="13"/>
  <c r="H54" i="13"/>
  <c r="G54" i="13"/>
  <c r="F54" i="13"/>
  <c r="E54" i="13"/>
  <c r="D54" i="13"/>
  <c r="C54" i="13"/>
  <c r="B54" i="13"/>
  <c r="N54" i="13" s="1"/>
  <c r="M53" i="13"/>
  <c r="L53" i="13"/>
  <c r="K53" i="13"/>
  <c r="J53" i="13"/>
  <c r="I53" i="13"/>
  <c r="H53" i="13"/>
  <c r="G53" i="13"/>
  <c r="F53" i="13"/>
  <c r="E53" i="13"/>
  <c r="D53" i="13"/>
  <c r="C53" i="13"/>
  <c r="B53" i="13"/>
  <c r="N53" i="13" s="1"/>
  <c r="M52" i="13"/>
  <c r="L52" i="13"/>
  <c r="K52" i="13"/>
  <c r="J52" i="13"/>
  <c r="I52" i="13"/>
  <c r="H52" i="13"/>
  <c r="G52" i="13"/>
  <c r="F52" i="13"/>
  <c r="E52" i="13"/>
  <c r="D52" i="13"/>
  <c r="C52" i="13"/>
  <c r="B52" i="13"/>
  <c r="N52" i="13" s="1"/>
  <c r="M51" i="13"/>
  <c r="L51" i="13"/>
  <c r="K51" i="13"/>
  <c r="J51" i="13"/>
  <c r="I51" i="13"/>
  <c r="H51" i="13"/>
  <c r="G51" i="13"/>
  <c r="F51" i="13"/>
  <c r="E51" i="13"/>
  <c r="D51" i="13"/>
  <c r="C51" i="13"/>
  <c r="B51" i="13"/>
  <c r="N51" i="13" s="1"/>
  <c r="M50" i="13"/>
  <c r="L50" i="13"/>
  <c r="K50" i="13"/>
  <c r="J50" i="13"/>
  <c r="I50" i="13"/>
  <c r="H50" i="13"/>
  <c r="G50" i="13"/>
  <c r="F50" i="13"/>
  <c r="E50" i="13"/>
  <c r="D50" i="13"/>
  <c r="C50" i="13"/>
  <c r="B50" i="13"/>
  <c r="N50" i="13" s="1"/>
  <c r="M49" i="13"/>
  <c r="L49" i="13"/>
  <c r="K49" i="13"/>
  <c r="J49" i="13"/>
  <c r="I49" i="13"/>
  <c r="H49" i="13"/>
  <c r="G49" i="13"/>
  <c r="F49" i="13"/>
  <c r="E49" i="13"/>
  <c r="D49" i="13"/>
  <c r="C49" i="13"/>
  <c r="B49" i="13"/>
  <c r="N49" i="13" s="1"/>
  <c r="M48" i="13"/>
  <c r="M57" i="13" s="1"/>
  <c r="L48" i="13"/>
  <c r="L57" i="13" s="1"/>
  <c r="K48" i="13"/>
  <c r="K57" i="13" s="1"/>
  <c r="J48" i="13"/>
  <c r="J57" i="13" s="1"/>
  <c r="I48" i="13"/>
  <c r="I57" i="13" s="1"/>
  <c r="H48" i="13"/>
  <c r="H57" i="13" s="1"/>
  <c r="G48" i="13"/>
  <c r="G57" i="13" s="1"/>
  <c r="F48" i="13"/>
  <c r="F57" i="13" s="1"/>
  <c r="E48" i="13"/>
  <c r="E57" i="13" s="1"/>
  <c r="D48" i="13"/>
  <c r="D57" i="13" s="1"/>
  <c r="C48" i="13"/>
  <c r="C57" i="13" s="1"/>
  <c r="B48" i="13"/>
  <c r="M45" i="13"/>
  <c r="L45" i="13"/>
  <c r="K45" i="13"/>
  <c r="J45" i="13"/>
  <c r="I45" i="13"/>
  <c r="H45" i="13"/>
  <c r="G45" i="13"/>
  <c r="F45" i="13"/>
  <c r="E45" i="13"/>
  <c r="D45" i="13"/>
  <c r="C45" i="13"/>
  <c r="B45" i="13"/>
  <c r="N45" i="13" s="1"/>
  <c r="M44" i="13"/>
  <c r="L44" i="13"/>
  <c r="K44" i="13"/>
  <c r="J44" i="13"/>
  <c r="I44" i="13"/>
  <c r="H44" i="13"/>
  <c r="G44" i="13"/>
  <c r="F44" i="13"/>
  <c r="E44" i="13"/>
  <c r="D44" i="13"/>
  <c r="C44" i="13"/>
  <c r="B44" i="13"/>
  <c r="N44" i="13" s="1"/>
  <c r="M43" i="13"/>
  <c r="L43" i="13"/>
  <c r="K43" i="13"/>
  <c r="J43" i="13"/>
  <c r="I43" i="13"/>
  <c r="H43" i="13"/>
  <c r="G43" i="13"/>
  <c r="F43" i="13"/>
  <c r="E43" i="13"/>
  <c r="D43" i="13"/>
  <c r="C43" i="13"/>
  <c r="B43" i="13"/>
  <c r="N43" i="13" s="1"/>
  <c r="M42" i="13"/>
  <c r="L42" i="13"/>
  <c r="K42" i="13"/>
  <c r="J42" i="13"/>
  <c r="I42" i="13"/>
  <c r="H42" i="13"/>
  <c r="G42" i="13"/>
  <c r="F42" i="13"/>
  <c r="E42" i="13"/>
  <c r="D42" i="13"/>
  <c r="C42" i="13"/>
  <c r="B42" i="13"/>
  <c r="N42" i="13" s="1"/>
  <c r="M41" i="13"/>
  <c r="L41" i="13"/>
  <c r="K41" i="13"/>
  <c r="J41" i="13"/>
  <c r="I41" i="13"/>
  <c r="H41" i="13"/>
  <c r="G41" i="13"/>
  <c r="F41" i="13"/>
  <c r="E41" i="13"/>
  <c r="D41" i="13"/>
  <c r="C41" i="13"/>
  <c r="B41" i="13"/>
  <c r="N41" i="13" s="1"/>
  <c r="M40" i="13"/>
  <c r="M46" i="13" s="1"/>
  <c r="M59" i="13" s="1"/>
  <c r="L40" i="13"/>
  <c r="L46" i="13" s="1"/>
  <c r="L59" i="13" s="1"/>
  <c r="K40" i="13"/>
  <c r="K46" i="13" s="1"/>
  <c r="K59" i="13" s="1"/>
  <c r="J40" i="13"/>
  <c r="J46" i="13" s="1"/>
  <c r="J59" i="13" s="1"/>
  <c r="I40" i="13"/>
  <c r="I46" i="13" s="1"/>
  <c r="I59" i="13" s="1"/>
  <c r="H40" i="13"/>
  <c r="H46" i="13" s="1"/>
  <c r="H59" i="13" s="1"/>
  <c r="G40" i="13"/>
  <c r="G46" i="13" s="1"/>
  <c r="G59" i="13" s="1"/>
  <c r="F40" i="13"/>
  <c r="F46" i="13" s="1"/>
  <c r="F59" i="13" s="1"/>
  <c r="E40" i="13"/>
  <c r="E46" i="13" s="1"/>
  <c r="E59" i="13" s="1"/>
  <c r="D40" i="13"/>
  <c r="D46" i="13" s="1"/>
  <c r="D59" i="13" s="1"/>
  <c r="C40" i="13"/>
  <c r="C46" i="13" s="1"/>
  <c r="C59" i="13" s="1"/>
  <c r="B40" i="13"/>
  <c r="N35" i="13"/>
  <c r="N34" i="13"/>
  <c r="N33" i="13"/>
  <c r="N32" i="13"/>
  <c r="N31" i="13"/>
  <c r="B25" i="13"/>
  <c r="C25" i="13" s="1"/>
  <c r="B24" i="13"/>
  <c r="C24" i="13" s="1"/>
  <c r="B23" i="13"/>
  <c r="C23" i="13" s="1"/>
  <c r="B22" i="13"/>
  <c r="C22" i="13" s="1"/>
  <c r="B21" i="13"/>
  <c r="C21" i="13" s="1"/>
  <c r="B20" i="13"/>
  <c r="C20" i="13" s="1"/>
  <c r="B19" i="13"/>
  <c r="C19" i="13" s="1"/>
  <c r="B18" i="13"/>
  <c r="C18" i="13" s="1"/>
  <c r="B17" i="13"/>
  <c r="C17" i="13" s="1"/>
  <c r="D16" i="13"/>
  <c r="B16" i="13"/>
  <c r="C16" i="13" s="1"/>
  <c r="B15" i="13"/>
  <c r="C15" i="13" s="1"/>
  <c r="B14" i="13"/>
  <c r="C14" i="13" s="1"/>
  <c r="B13" i="13"/>
  <c r="C13" i="13" s="1"/>
  <c r="B12" i="13"/>
  <c r="C12" i="13" s="1"/>
  <c r="B11" i="13"/>
  <c r="C11" i="13" s="1"/>
  <c r="B10" i="13"/>
  <c r="C10" i="13" s="1"/>
  <c r="D9" i="13"/>
  <c r="D26" i="13" s="1"/>
  <c r="B9" i="13"/>
  <c r="G18" i="12"/>
  <c r="E18" i="12"/>
  <c r="H18" i="12" s="1"/>
  <c r="H16" i="12"/>
  <c r="H15" i="12"/>
  <c r="H14" i="12"/>
  <c r="H13" i="12"/>
  <c r="H12" i="12"/>
  <c r="H11" i="12"/>
  <c r="H10" i="12"/>
  <c r="H9" i="12"/>
  <c r="H8" i="12"/>
  <c r="H7" i="12"/>
  <c r="H6" i="12"/>
  <c r="G27" i="10"/>
  <c r="G26" i="10"/>
  <c r="C26" i="10"/>
  <c r="G25" i="10"/>
  <c r="C25" i="10"/>
  <c r="E21" i="10"/>
  <c r="D21" i="10"/>
  <c r="G28" i="10" s="1"/>
  <c r="H20" i="10"/>
  <c r="C20" i="10"/>
  <c r="H19" i="10"/>
  <c r="C19" i="10"/>
  <c r="H18" i="10"/>
  <c r="H21" i="10" s="1"/>
  <c r="C18" i="10"/>
  <c r="C12" i="10"/>
  <c r="C10" i="10"/>
  <c r="C11" i="10" s="1"/>
  <c r="C9" i="10"/>
  <c r="C8" i="10"/>
  <c r="C7" i="10"/>
  <c r="C6" i="10"/>
  <c r="E27" i="9"/>
  <c r="F27" i="9" s="1"/>
  <c r="D27" i="9"/>
  <c r="C27" i="9"/>
  <c r="B27" i="9"/>
  <c r="E26" i="9"/>
  <c r="F26" i="9" s="1"/>
  <c r="D26" i="9"/>
  <c r="C26" i="9"/>
  <c r="B26" i="9"/>
  <c r="F16" i="9"/>
  <c r="B16" i="9"/>
  <c r="B14" i="8"/>
  <c r="B13" i="8"/>
  <c r="C38" i="6"/>
  <c r="B38" i="6"/>
  <c r="C37" i="6"/>
  <c r="B37" i="6"/>
  <c r="C36" i="6"/>
  <c r="B36" i="6"/>
  <c r="C35" i="6"/>
  <c r="B35" i="6"/>
  <c r="C34" i="6"/>
  <c r="B34" i="6"/>
  <c r="C33" i="6"/>
  <c r="B33" i="6"/>
  <c r="C32" i="6"/>
  <c r="B32" i="6"/>
  <c r="C31" i="6"/>
  <c r="B31" i="6"/>
  <c r="C30" i="6"/>
  <c r="B30" i="6"/>
  <c r="C29" i="6"/>
  <c r="B29" i="6"/>
  <c r="C28" i="6"/>
  <c r="B28" i="6"/>
  <c r="C27" i="6"/>
  <c r="B27" i="6"/>
  <c r="C26" i="6"/>
  <c r="B26" i="6"/>
  <c r="C25" i="6"/>
  <c r="B25" i="6"/>
  <c r="C24" i="6"/>
  <c r="B24" i="6"/>
  <c r="C23" i="6"/>
  <c r="B23" i="6"/>
  <c r="C22" i="6"/>
  <c r="B22" i="6"/>
  <c r="C21" i="6"/>
  <c r="B21" i="6"/>
  <c r="I16" i="6"/>
  <c r="H16" i="6"/>
  <c r="F16" i="6"/>
  <c r="E16" i="6"/>
  <c r="C16" i="6"/>
  <c r="B16" i="6"/>
  <c r="I15" i="6"/>
  <c r="H15" i="6"/>
  <c r="F15" i="6"/>
  <c r="E15" i="6"/>
  <c r="C15" i="6"/>
  <c r="B15" i="6"/>
  <c r="I14" i="6"/>
  <c r="H14" i="6"/>
  <c r="F14" i="6"/>
  <c r="E14" i="6"/>
  <c r="C14" i="6"/>
  <c r="B14" i="6"/>
  <c r="I13" i="6"/>
  <c r="H13" i="6"/>
  <c r="F13" i="6"/>
  <c r="E13" i="6"/>
  <c r="C13" i="6"/>
  <c r="B13" i="6"/>
  <c r="I12" i="6"/>
  <c r="H12" i="6"/>
  <c r="F12" i="6"/>
  <c r="E12" i="6"/>
  <c r="C12" i="6"/>
  <c r="B12" i="6"/>
  <c r="I11" i="6"/>
  <c r="H11" i="6"/>
  <c r="F11" i="6"/>
  <c r="E11" i="6"/>
  <c r="C11" i="6"/>
  <c r="B11" i="6"/>
  <c r="I10" i="6"/>
  <c r="H10" i="6"/>
  <c r="F10" i="6"/>
  <c r="E10" i="6"/>
  <c r="C10" i="6"/>
  <c r="B10" i="6"/>
  <c r="I9" i="6"/>
  <c r="H9" i="6"/>
  <c r="F9" i="6"/>
  <c r="E9" i="6"/>
  <c r="C9" i="6"/>
  <c r="B9" i="6"/>
  <c r="I8" i="6"/>
  <c r="H8" i="6"/>
  <c r="F8" i="6"/>
  <c r="E8" i="6"/>
  <c r="C8" i="6"/>
  <c r="B8" i="6"/>
  <c r="I7" i="6"/>
  <c r="H7" i="6"/>
  <c r="F7" i="6"/>
  <c r="E7" i="6"/>
  <c r="C7" i="6"/>
  <c r="B7" i="6"/>
  <c r="I6" i="6"/>
  <c r="H6" i="6"/>
  <c r="F6" i="6"/>
  <c r="E6" i="6"/>
  <c r="C6" i="6"/>
  <c r="B6" i="6"/>
  <c r="I5" i="6"/>
  <c r="F5" i="6"/>
  <c r="C5" i="6"/>
  <c r="AG52" i="4"/>
  <c r="AF52" i="4"/>
  <c r="AE52" i="4"/>
  <c r="AD52" i="4"/>
  <c r="AC52" i="4"/>
  <c r="AB52" i="4"/>
  <c r="AA52" i="4"/>
  <c r="E18" i="9" s="1"/>
  <c r="Z52" i="4"/>
  <c r="Y52" i="4"/>
  <c r="X52" i="4"/>
  <c r="W52" i="4"/>
  <c r="V52" i="4"/>
  <c r="U52" i="4"/>
  <c r="T52" i="4"/>
  <c r="S52" i="4"/>
  <c r="R52" i="4"/>
  <c r="Q52" i="4"/>
  <c r="P52" i="4"/>
  <c r="O52" i="4"/>
  <c r="D18" i="9" s="1"/>
  <c r="N52" i="4"/>
  <c r="M52" i="4"/>
  <c r="L52" i="4"/>
  <c r="K52" i="4"/>
  <c r="J52" i="4"/>
  <c r="I52" i="4"/>
  <c r="H52" i="4"/>
  <c r="G52" i="4"/>
  <c r="F52" i="4"/>
  <c r="E52" i="4"/>
  <c r="C18" i="9" s="1"/>
  <c r="D52" i="4"/>
  <c r="C52" i="4"/>
  <c r="AG51" i="4"/>
  <c r="AF51" i="4"/>
  <c r="AE51" i="4"/>
  <c r="AD51" i="4"/>
  <c r="AC51" i="4"/>
  <c r="AB51" i="4"/>
  <c r="AA51" i="4"/>
  <c r="E19" i="9" s="1"/>
  <c r="Z51" i="4"/>
  <c r="Y51" i="4"/>
  <c r="X51" i="4"/>
  <c r="W51" i="4"/>
  <c r="V51" i="4"/>
  <c r="U51" i="4"/>
  <c r="T51" i="4"/>
  <c r="S51" i="4"/>
  <c r="R51" i="4"/>
  <c r="Q51" i="4"/>
  <c r="P51" i="4"/>
  <c r="O51" i="4"/>
  <c r="D19" i="9" s="1"/>
  <c r="N51" i="4"/>
  <c r="M51" i="4"/>
  <c r="L51" i="4"/>
  <c r="K51" i="4"/>
  <c r="J51" i="4"/>
  <c r="I51" i="4"/>
  <c r="H51" i="4"/>
  <c r="G51" i="4"/>
  <c r="F51" i="4"/>
  <c r="E51" i="4"/>
  <c r="C19" i="9" s="1"/>
  <c r="D51" i="4"/>
  <c r="C51" i="4"/>
  <c r="AG45" i="4"/>
  <c r="AF45" i="4"/>
  <c r="AE45" i="4"/>
  <c r="AD45" i="4"/>
  <c r="AC45" i="4"/>
  <c r="AB45" i="4"/>
  <c r="AA45" i="4"/>
  <c r="Z45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AH45" i="4" s="1"/>
  <c r="AG44" i="4"/>
  <c r="AF44" i="4"/>
  <c r="AE44" i="4"/>
  <c r="AD44" i="4"/>
  <c r="AC44" i="4"/>
  <c r="AB44" i="4"/>
  <c r="AA44" i="4"/>
  <c r="Z44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AH44" i="4" s="1"/>
  <c r="AG43" i="4"/>
  <c r="AF43" i="4"/>
  <c r="AE43" i="4"/>
  <c r="AD43" i="4"/>
  <c r="AC43" i="4"/>
  <c r="AB43" i="4"/>
  <c r="AA43" i="4"/>
  <c r="Z43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AH43" i="4" s="1"/>
  <c r="AG42" i="4"/>
  <c r="AF42" i="4"/>
  <c r="AE42" i="4"/>
  <c r="AD42" i="4"/>
  <c r="AC42" i="4"/>
  <c r="AB42" i="4"/>
  <c r="AA42" i="4"/>
  <c r="Z42" i="4"/>
  <c r="Y42" i="4"/>
  <c r="X42" i="4"/>
  <c r="W42" i="4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E42" i="4"/>
  <c r="D42" i="4"/>
  <c r="C42" i="4"/>
  <c r="AH42" i="4" s="1"/>
  <c r="AG41" i="4"/>
  <c r="AF41" i="4"/>
  <c r="AE41" i="4"/>
  <c r="AD41" i="4"/>
  <c r="AC41" i="4"/>
  <c r="AB41" i="4"/>
  <c r="AA41" i="4"/>
  <c r="Z41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AH41" i="4" s="1"/>
  <c r="AG40" i="4"/>
  <c r="AG46" i="4" s="1"/>
  <c r="AF40" i="4"/>
  <c r="AF46" i="4" s="1"/>
  <c r="AE40" i="4"/>
  <c r="AE46" i="4" s="1"/>
  <c r="AD40" i="4"/>
  <c r="AD46" i="4" s="1"/>
  <c r="AC40" i="4"/>
  <c r="AC46" i="4" s="1"/>
  <c r="AB40" i="4"/>
  <c r="AB46" i="4" s="1"/>
  <c r="AA40" i="4"/>
  <c r="AA46" i="4" s="1"/>
  <c r="E9" i="9" s="1"/>
  <c r="Z40" i="4"/>
  <c r="Z46" i="4" s="1"/>
  <c r="Y40" i="4"/>
  <c r="Y46" i="4" s="1"/>
  <c r="X40" i="4"/>
  <c r="X46" i="4" s="1"/>
  <c r="W40" i="4"/>
  <c r="W46" i="4" s="1"/>
  <c r="V40" i="4"/>
  <c r="V46" i="4" s="1"/>
  <c r="U40" i="4"/>
  <c r="U46" i="4" s="1"/>
  <c r="T40" i="4"/>
  <c r="T46" i="4" s="1"/>
  <c r="S40" i="4"/>
  <c r="S46" i="4" s="1"/>
  <c r="R40" i="4"/>
  <c r="R46" i="4" s="1"/>
  <c r="Q40" i="4"/>
  <c r="Q46" i="4" s="1"/>
  <c r="P40" i="4"/>
  <c r="P46" i="4" s="1"/>
  <c r="O40" i="4"/>
  <c r="O46" i="4" s="1"/>
  <c r="D9" i="9" s="1"/>
  <c r="N40" i="4"/>
  <c r="N46" i="4" s="1"/>
  <c r="M40" i="4"/>
  <c r="M46" i="4" s="1"/>
  <c r="L40" i="4"/>
  <c r="L46" i="4" s="1"/>
  <c r="K40" i="4"/>
  <c r="K46" i="4" s="1"/>
  <c r="J40" i="4"/>
  <c r="J46" i="4" s="1"/>
  <c r="I40" i="4"/>
  <c r="I46" i="4" s="1"/>
  <c r="H40" i="4"/>
  <c r="H46" i="4" s="1"/>
  <c r="G40" i="4"/>
  <c r="G46" i="4" s="1"/>
  <c r="F40" i="4"/>
  <c r="F46" i="4" s="1"/>
  <c r="E40" i="4"/>
  <c r="E46" i="4" s="1"/>
  <c r="C9" i="9" s="1"/>
  <c r="D40" i="4"/>
  <c r="D46" i="4" s="1"/>
  <c r="C40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AH36" i="4" s="1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AH35" i="4" s="1"/>
  <c r="AG34" i="4"/>
  <c r="AG37" i="4" s="1"/>
  <c r="AF34" i="4"/>
  <c r="AF37" i="4" s="1"/>
  <c r="AE34" i="4"/>
  <c r="AE37" i="4" s="1"/>
  <c r="AD34" i="4"/>
  <c r="AD37" i="4" s="1"/>
  <c r="AC34" i="4"/>
  <c r="AC37" i="4" s="1"/>
  <c r="AB34" i="4"/>
  <c r="AB37" i="4" s="1"/>
  <c r="AA34" i="4"/>
  <c r="AA37" i="4" s="1"/>
  <c r="E8" i="9" s="1"/>
  <c r="Z34" i="4"/>
  <c r="Z37" i="4" s="1"/>
  <c r="Y34" i="4"/>
  <c r="Y37" i="4" s="1"/>
  <c r="X34" i="4"/>
  <c r="X37" i="4" s="1"/>
  <c r="W34" i="4"/>
  <c r="W37" i="4" s="1"/>
  <c r="V34" i="4"/>
  <c r="V37" i="4" s="1"/>
  <c r="U34" i="4"/>
  <c r="U37" i="4" s="1"/>
  <c r="T34" i="4"/>
  <c r="T37" i="4" s="1"/>
  <c r="S34" i="4"/>
  <c r="S37" i="4" s="1"/>
  <c r="R34" i="4"/>
  <c r="R37" i="4" s="1"/>
  <c r="Q34" i="4"/>
  <c r="Q37" i="4" s="1"/>
  <c r="P34" i="4"/>
  <c r="P37" i="4" s="1"/>
  <c r="O34" i="4"/>
  <c r="O37" i="4" s="1"/>
  <c r="D8" i="9" s="1"/>
  <c r="N34" i="4"/>
  <c r="N37" i="4" s="1"/>
  <c r="M34" i="4"/>
  <c r="M37" i="4" s="1"/>
  <c r="L34" i="4"/>
  <c r="L37" i="4" s="1"/>
  <c r="K34" i="4"/>
  <c r="K37" i="4" s="1"/>
  <c r="J34" i="4"/>
  <c r="J37" i="4" s="1"/>
  <c r="I34" i="4"/>
  <c r="I37" i="4" s="1"/>
  <c r="H34" i="4"/>
  <c r="H37" i="4" s="1"/>
  <c r="G34" i="4"/>
  <c r="G37" i="4" s="1"/>
  <c r="F34" i="4"/>
  <c r="F37" i="4" s="1"/>
  <c r="E34" i="4"/>
  <c r="E37" i="4" s="1"/>
  <c r="C8" i="9" s="1"/>
  <c r="D34" i="4"/>
  <c r="D37" i="4" s="1"/>
  <c r="C34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AH30" i="4" s="1"/>
  <c r="AG29" i="4"/>
  <c r="AG31" i="4" s="1"/>
  <c r="AF29" i="4"/>
  <c r="AF31" i="4" s="1"/>
  <c r="AE29" i="4"/>
  <c r="AE31" i="4" s="1"/>
  <c r="AD29" i="4"/>
  <c r="AD31" i="4" s="1"/>
  <c r="AC29" i="4"/>
  <c r="AC31" i="4" s="1"/>
  <c r="AB29" i="4"/>
  <c r="AB31" i="4" s="1"/>
  <c r="AA29" i="4"/>
  <c r="AA31" i="4" s="1"/>
  <c r="Z29" i="4"/>
  <c r="Z31" i="4" s="1"/>
  <c r="Y29" i="4"/>
  <c r="Y31" i="4" s="1"/>
  <c r="X29" i="4"/>
  <c r="X31" i="4" s="1"/>
  <c r="W29" i="4"/>
  <c r="W31" i="4" s="1"/>
  <c r="V29" i="4"/>
  <c r="V31" i="4" s="1"/>
  <c r="U29" i="4"/>
  <c r="U31" i="4" s="1"/>
  <c r="T29" i="4"/>
  <c r="T31" i="4" s="1"/>
  <c r="S29" i="4"/>
  <c r="S31" i="4" s="1"/>
  <c r="R29" i="4"/>
  <c r="R31" i="4" s="1"/>
  <c r="Q29" i="4"/>
  <c r="Q31" i="4" s="1"/>
  <c r="P29" i="4"/>
  <c r="P31" i="4" s="1"/>
  <c r="O29" i="4"/>
  <c r="O31" i="4" s="1"/>
  <c r="N29" i="4"/>
  <c r="N31" i="4" s="1"/>
  <c r="M29" i="4"/>
  <c r="M31" i="4" s="1"/>
  <c r="L29" i="4"/>
  <c r="L31" i="4" s="1"/>
  <c r="K29" i="4"/>
  <c r="K31" i="4" s="1"/>
  <c r="J29" i="4"/>
  <c r="J31" i="4" s="1"/>
  <c r="I29" i="4"/>
  <c r="I31" i="4" s="1"/>
  <c r="H29" i="4"/>
  <c r="H31" i="4" s="1"/>
  <c r="G29" i="4"/>
  <c r="G31" i="4" s="1"/>
  <c r="F29" i="4"/>
  <c r="F31" i="4" s="1"/>
  <c r="E29" i="4"/>
  <c r="E31" i="4" s="1"/>
  <c r="D29" i="4"/>
  <c r="D31" i="4" s="1"/>
  <c r="C29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AH23" i="4" s="1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T22" i="4"/>
  <c r="S22" i="4"/>
  <c r="R22" i="4"/>
  <c r="Q22" i="4"/>
  <c r="P22" i="4"/>
  <c r="O22" i="4"/>
  <c r="B35" i="8" s="1"/>
  <c r="N22" i="4"/>
  <c r="M22" i="4"/>
  <c r="L22" i="4"/>
  <c r="K22" i="4"/>
  <c r="J22" i="4"/>
  <c r="I22" i="4"/>
  <c r="H22" i="4"/>
  <c r="G22" i="4"/>
  <c r="F22" i="4"/>
  <c r="E22" i="4"/>
  <c r="D22" i="4"/>
  <c r="C22" i="4"/>
  <c r="AH22" i="4" s="1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T21" i="4"/>
  <c r="S21" i="4"/>
  <c r="R21" i="4"/>
  <c r="Q21" i="4"/>
  <c r="P21" i="4"/>
  <c r="O21" i="4"/>
  <c r="B36" i="8" s="1"/>
  <c r="N21" i="4"/>
  <c r="M21" i="4"/>
  <c r="L21" i="4"/>
  <c r="K21" i="4"/>
  <c r="J21" i="4"/>
  <c r="I21" i="4"/>
  <c r="H21" i="4"/>
  <c r="G21" i="4"/>
  <c r="F21" i="4"/>
  <c r="E21" i="4"/>
  <c r="D21" i="4"/>
  <c r="C21" i="4"/>
  <c r="AH21" i="4" s="1"/>
  <c r="AG20" i="4"/>
  <c r="AG24" i="4" s="1"/>
  <c r="AF20" i="4"/>
  <c r="AF24" i="4" s="1"/>
  <c r="AE20" i="4"/>
  <c r="AE24" i="4" s="1"/>
  <c r="AD20" i="4"/>
  <c r="AD24" i="4" s="1"/>
  <c r="AC20" i="4"/>
  <c r="AC24" i="4" s="1"/>
  <c r="AB20" i="4"/>
  <c r="AB24" i="4" s="1"/>
  <c r="AA20" i="4"/>
  <c r="AA24" i="4" s="1"/>
  <c r="Z20" i="4"/>
  <c r="Z24" i="4" s="1"/>
  <c r="Y20" i="4"/>
  <c r="Y24" i="4" s="1"/>
  <c r="B22" i="8" s="1"/>
  <c r="X20" i="4"/>
  <c r="X24" i="4" s="1"/>
  <c r="W20" i="4"/>
  <c r="W24" i="4" s="1"/>
  <c r="V20" i="4"/>
  <c r="V24" i="4" s="1"/>
  <c r="U20" i="4"/>
  <c r="U24" i="4" s="1"/>
  <c r="T20" i="4"/>
  <c r="T24" i="4" s="1"/>
  <c r="S20" i="4"/>
  <c r="S24" i="4" s="1"/>
  <c r="R20" i="4"/>
  <c r="R24" i="4" s="1"/>
  <c r="Q20" i="4"/>
  <c r="Q24" i="4" s="1"/>
  <c r="B21" i="8" s="1"/>
  <c r="P20" i="4"/>
  <c r="P24" i="4" s="1"/>
  <c r="O20" i="4"/>
  <c r="N20" i="4"/>
  <c r="N24" i="4" s="1"/>
  <c r="M20" i="4"/>
  <c r="M24" i="4" s="1"/>
  <c r="L20" i="4"/>
  <c r="L24" i="4" s="1"/>
  <c r="K20" i="4"/>
  <c r="K24" i="4" s="1"/>
  <c r="J20" i="4"/>
  <c r="J24" i="4" s="1"/>
  <c r="I20" i="4"/>
  <c r="I24" i="4" s="1"/>
  <c r="H20" i="4"/>
  <c r="H24" i="4" s="1"/>
  <c r="G20" i="4"/>
  <c r="G24" i="4" s="1"/>
  <c r="F20" i="4"/>
  <c r="F24" i="4" s="1"/>
  <c r="E20" i="4"/>
  <c r="E24" i="4" s="1"/>
  <c r="D20" i="4"/>
  <c r="D24" i="4" s="1"/>
  <c r="C20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AH16" i="4" s="1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AH15" i="4" s="1"/>
  <c r="AG14" i="4"/>
  <c r="AG17" i="4" s="1"/>
  <c r="AF14" i="4"/>
  <c r="AF17" i="4" s="1"/>
  <c r="AE14" i="4"/>
  <c r="AE17" i="4" s="1"/>
  <c r="AD14" i="4"/>
  <c r="AD17" i="4" s="1"/>
  <c r="AC14" i="4"/>
  <c r="AC17" i="4" s="1"/>
  <c r="AB14" i="4"/>
  <c r="AB17" i="4" s="1"/>
  <c r="AA14" i="4"/>
  <c r="AA17" i="4" s="1"/>
  <c r="Z14" i="4"/>
  <c r="Z17" i="4" s="1"/>
  <c r="Y14" i="4"/>
  <c r="Y17" i="4" s="1"/>
  <c r="X14" i="4"/>
  <c r="X17" i="4" s="1"/>
  <c r="W14" i="4"/>
  <c r="W17" i="4" s="1"/>
  <c r="V14" i="4"/>
  <c r="V17" i="4" s="1"/>
  <c r="U14" i="4"/>
  <c r="U17" i="4" s="1"/>
  <c r="T14" i="4"/>
  <c r="T17" i="4" s="1"/>
  <c r="S14" i="4"/>
  <c r="S17" i="4" s="1"/>
  <c r="R14" i="4"/>
  <c r="R17" i="4" s="1"/>
  <c r="Q14" i="4"/>
  <c r="Q17" i="4" s="1"/>
  <c r="P14" i="4"/>
  <c r="P17" i="4" s="1"/>
  <c r="O14" i="4"/>
  <c r="O17" i="4" s="1"/>
  <c r="N14" i="4"/>
  <c r="N17" i="4" s="1"/>
  <c r="M14" i="4"/>
  <c r="M17" i="4" s="1"/>
  <c r="L14" i="4"/>
  <c r="L17" i="4" s="1"/>
  <c r="K14" i="4"/>
  <c r="K17" i="4" s="1"/>
  <c r="J14" i="4"/>
  <c r="J17" i="4" s="1"/>
  <c r="I14" i="4"/>
  <c r="I17" i="4" s="1"/>
  <c r="H14" i="4"/>
  <c r="H17" i="4" s="1"/>
  <c r="G14" i="4"/>
  <c r="G17" i="4" s="1"/>
  <c r="F14" i="4"/>
  <c r="F17" i="4" s="1"/>
  <c r="E14" i="4"/>
  <c r="E17" i="4" s="1"/>
  <c r="D14" i="4"/>
  <c r="D17" i="4" s="1"/>
  <c r="C14" i="4"/>
  <c r="AG10" i="4"/>
  <c r="AF10" i="4"/>
  <c r="AE10" i="4"/>
  <c r="AD10" i="4"/>
  <c r="AC10" i="4"/>
  <c r="AB10" i="4"/>
  <c r="AA10" i="4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AH10" i="4" s="1"/>
  <c r="AG9" i="4"/>
  <c r="AF9" i="4"/>
  <c r="AE9" i="4"/>
  <c r="AD9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C9" i="4"/>
  <c r="AH9" i="4" s="1"/>
  <c r="AG8" i="4"/>
  <c r="AF8" i="4"/>
  <c r="AE8" i="4"/>
  <c r="AD8" i="4"/>
  <c r="AC8" i="4"/>
  <c r="AB8" i="4"/>
  <c r="AA8" i="4"/>
  <c r="Z8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AH8" i="4" s="1"/>
  <c r="AG7" i="4"/>
  <c r="AG11" i="4" s="1"/>
  <c r="AG26" i="4" s="1"/>
  <c r="AF7" i="4"/>
  <c r="AF11" i="4" s="1"/>
  <c r="AF26" i="4" s="1"/>
  <c r="AE7" i="4"/>
  <c r="AE11" i="4" s="1"/>
  <c r="AE26" i="4" s="1"/>
  <c r="AD7" i="4"/>
  <c r="AD11" i="4" s="1"/>
  <c r="AD26" i="4" s="1"/>
  <c r="AC7" i="4"/>
  <c r="AC11" i="4" s="1"/>
  <c r="AC26" i="4" s="1"/>
  <c r="AB7" i="4"/>
  <c r="AB11" i="4" s="1"/>
  <c r="AB26" i="4" s="1"/>
  <c r="AA7" i="4"/>
  <c r="AA11" i="4" s="1"/>
  <c r="AA26" i="4" s="1"/>
  <c r="Z7" i="4"/>
  <c r="Z11" i="4" s="1"/>
  <c r="Z26" i="4" s="1"/>
  <c r="Y7" i="4"/>
  <c r="Y11" i="4" s="1"/>
  <c r="Y26" i="4" s="1"/>
  <c r="X7" i="4"/>
  <c r="X11" i="4" s="1"/>
  <c r="X26" i="4" s="1"/>
  <c r="W7" i="4"/>
  <c r="W11" i="4" s="1"/>
  <c r="W26" i="4" s="1"/>
  <c r="V7" i="4"/>
  <c r="V11" i="4" s="1"/>
  <c r="V26" i="4" s="1"/>
  <c r="U7" i="4"/>
  <c r="U11" i="4" s="1"/>
  <c r="U26" i="4" s="1"/>
  <c r="T7" i="4"/>
  <c r="T11" i="4" s="1"/>
  <c r="T26" i="4" s="1"/>
  <c r="S7" i="4"/>
  <c r="S11" i="4" s="1"/>
  <c r="S26" i="4" s="1"/>
  <c r="R7" i="4"/>
  <c r="R11" i="4" s="1"/>
  <c r="R26" i="4" s="1"/>
  <c r="Q7" i="4"/>
  <c r="Q11" i="4" s="1"/>
  <c r="Q26" i="4" s="1"/>
  <c r="P7" i="4"/>
  <c r="P11" i="4" s="1"/>
  <c r="P26" i="4" s="1"/>
  <c r="O7" i="4"/>
  <c r="O11" i="4" s="1"/>
  <c r="N7" i="4"/>
  <c r="N11" i="4" s="1"/>
  <c r="N26" i="4" s="1"/>
  <c r="M7" i="4"/>
  <c r="M11" i="4" s="1"/>
  <c r="M26" i="4" s="1"/>
  <c r="L7" i="4"/>
  <c r="L11" i="4" s="1"/>
  <c r="L26" i="4" s="1"/>
  <c r="K7" i="4"/>
  <c r="K11" i="4" s="1"/>
  <c r="K26" i="4" s="1"/>
  <c r="J7" i="4"/>
  <c r="J11" i="4" s="1"/>
  <c r="J26" i="4" s="1"/>
  <c r="I7" i="4"/>
  <c r="I11" i="4" s="1"/>
  <c r="I26" i="4" s="1"/>
  <c r="H7" i="4"/>
  <c r="H11" i="4" s="1"/>
  <c r="H26" i="4" s="1"/>
  <c r="G7" i="4"/>
  <c r="G11" i="4" s="1"/>
  <c r="G26" i="4" s="1"/>
  <c r="F7" i="4"/>
  <c r="F11" i="4" s="1"/>
  <c r="F26" i="4" s="1"/>
  <c r="E7" i="4"/>
  <c r="E11" i="4" s="1"/>
  <c r="E26" i="4" s="1"/>
  <c r="D7" i="4"/>
  <c r="D11" i="4" s="1"/>
  <c r="D26" i="4" s="1"/>
  <c r="C7" i="4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5" i="3"/>
  <c r="B24" i="3"/>
  <c r="B23" i="3"/>
  <c r="B22" i="3"/>
  <c r="B21" i="3"/>
  <c r="G20" i="3"/>
  <c r="B20" i="3"/>
  <c r="B19" i="3"/>
  <c r="G18" i="3"/>
  <c r="B18" i="3"/>
  <c r="G17" i="3"/>
  <c r="B17" i="3"/>
  <c r="G16" i="3"/>
  <c r="B16" i="3"/>
  <c r="B15" i="3"/>
  <c r="C33" i="2"/>
  <c r="E46" i="5"/>
  <c r="E11" i="14" s="1"/>
  <c r="D46" i="5"/>
  <c r="D11" i="14" s="1"/>
  <c r="C46" i="5"/>
  <c r="C11" i="14" s="1"/>
  <c r="B46" i="5"/>
  <c r="B11" i="14" s="1"/>
  <c r="F11" i="14" s="1"/>
  <c r="E45" i="5"/>
  <c r="D45" i="5"/>
  <c r="C45" i="5"/>
  <c r="B45" i="5"/>
  <c r="E42" i="5"/>
  <c r="E6" i="14" s="1"/>
  <c r="E16" i="14" s="1"/>
  <c r="E6" i="9" s="1"/>
  <c r="E10" i="9" s="1"/>
  <c r="D42" i="5"/>
  <c r="D6" i="14" s="1"/>
  <c r="D16" i="14" s="1"/>
  <c r="D6" i="9" s="1"/>
  <c r="D10" i="9" s="1"/>
  <c r="C42" i="5"/>
  <c r="C6" i="14" s="1"/>
  <c r="C16" i="14" s="1"/>
  <c r="C6" i="9" s="1"/>
  <c r="C10" i="9" s="1"/>
  <c r="B42" i="5"/>
  <c r="B6" i="14" s="1"/>
  <c r="E41" i="5"/>
  <c r="D41" i="5"/>
  <c r="C41" i="5"/>
  <c r="B41" i="5"/>
  <c r="E38" i="5"/>
  <c r="D38" i="5"/>
  <c r="C38" i="5"/>
  <c r="B38" i="5"/>
  <c r="E32" i="5"/>
  <c r="D32" i="5"/>
  <c r="C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1" i="5"/>
  <c r="D21" i="5"/>
  <c r="C21" i="5"/>
  <c r="E20" i="5"/>
  <c r="D20" i="5"/>
  <c r="C20" i="5"/>
  <c r="B20" i="5"/>
  <c r="E19" i="5"/>
  <c r="D19" i="5"/>
  <c r="C19" i="5"/>
  <c r="B19" i="5"/>
  <c r="E16" i="5"/>
  <c r="C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E37" i="5" s="1"/>
  <c r="B9" i="3" s="1"/>
  <c r="D6" i="5"/>
  <c r="C6" i="5"/>
  <c r="C37" i="5" s="1"/>
  <c r="B6" i="5"/>
  <c r="C53" i="5" l="1"/>
  <c r="C52" i="5"/>
  <c r="C51" i="5"/>
  <c r="C50" i="5"/>
  <c r="E53" i="5"/>
  <c r="E52" i="5"/>
  <c r="E51" i="5"/>
  <c r="E50" i="5"/>
  <c r="B5" i="14"/>
  <c r="B43" i="5"/>
  <c r="C5" i="14"/>
  <c r="C43" i="5"/>
  <c r="D5" i="14"/>
  <c r="D43" i="5"/>
  <c r="E5" i="14"/>
  <c r="E43" i="5"/>
  <c r="B16" i="14"/>
  <c r="B6" i="9" s="1"/>
  <c r="F6" i="14"/>
  <c r="F16" i="14" s="1"/>
  <c r="F6" i="9" s="1"/>
  <c r="B10" i="14"/>
  <c r="B47" i="5"/>
  <c r="C10" i="14"/>
  <c r="C12" i="14" s="1"/>
  <c r="C13" i="14" s="1"/>
  <c r="C47" i="5"/>
  <c r="D10" i="14"/>
  <c r="D12" i="14" s="1"/>
  <c r="D13" i="14" s="1"/>
  <c r="D47" i="5"/>
  <c r="E10" i="14"/>
  <c r="E12" i="14" s="1"/>
  <c r="E13" i="14" s="1"/>
  <c r="E47" i="5"/>
  <c r="C11" i="4"/>
  <c r="AH7" i="4"/>
  <c r="AH11" i="4" s="1"/>
  <c r="D48" i="4"/>
  <c r="C5" i="9"/>
  <c r="E48" i="4"/>
  <c r="F48" i="4"/>
  <c r="G48" i="4"/>
  <c r="H48" i="4"/>
  <c r="I48" i="4"/>
  <c r="J48" i="4"/>
  <c r="B28" i="8"/>
  <c r="K48" i="4"/>
  <c r="L48" i="4"/>
  <c r="M48" i="4"/>
  <c r="N48" i="4"/>
  <c r="P48" i="4"/>
  <c r="B29" i="8"/>
  <c r="C29" i="8" s="1"/>
  <c r="Q48" i="4"/>
  <c r="R48" i="4"/>
  <c r="S48" i="4"/>
  <c r="T48" i="4"/>
  <c r="U48" i="4"/>
  <c r="V48" i="4"/>
  <c r="W48" i="4"/>
  <c r="X48" i="4"/>
  <c r="B30" i="8"/>
  <c r="C30" i="8" s="1"/>
  <c r="Y48" i="4"/>
  <c r="Z48" i="4"/>
  <c r="E5" i="9"/>
  <c r="AA48" i="4"/>
  <c r="AB48" i="4"/>
  <c r="AC48" i="4"/>
  <c r="AD48" i="4"/>
  <c r="AE48" i="4"/>
  <c r="AF48" i="4"/>
  <c r="AG48" i="4"/>
  <c r="C17" i="4"/>
  <c r="AH14" i="4"/>
  <c r="AH17" i="4" s="1"/>
  <c r="C24" i="4"/>
  <c r="AH20" i="4"/>
  <c r="AH24" i="4" s="1"/>
  <c r="B34" i="8"/>
  <c r="B37" i="8" s="1"/>
  <c r="B23" i="8" s="1"/>
  <c r="O24" i="4"/>
  <c r="O26" i="4" s="1"/>
  <c r="C31" i="4"/>
  <c r="AH29" i="4"/>
  <c r="AH31" i="4" s="1"/>
  <c r="G19" i="3" s="1"/>
  <c r="C37" i="4"/>
  <c r="B8" i="9" s="1"/>
  <c r="F8" i="9" s="1"/>
  <c r="AH34" i="4"/>
  <c r="C46" i="4"/>
  <c r="B9" i="9" s="1"/>
  <c r="F9" i="9" s="1"/>
  <c r="AH40" i="4"/>
  <c r="B19" i="9"/>
  <c r="AH51" i="4"/>
  <c r="B18" i="9"/>
  <c r="AH52" i="4"/>
  <c r="C17" i="6"/>
  <c r="B48" i="3" s="1"/>
  <c r="F17" i="6"/>
  <c r="I17" i="6"/>
  <c r="E48" i="3" s="1"/>
  <c r="D6" i="6"/>
  <c r="G6" i="6"/>
  <c r="J6" i="6"/>
  <c r="D7" i="6"/>
  <c r="G7" i="6"/>
  <c r="J7" i="6"/>
  <c r="D8" i="6"/>
  <c r="G8" i="6"/>
  <c r="J8" i="6"/>
  <c r="D9" i="6"/>
  <c r="G9" i="6"/>
  <c r="J9" i="6"/>
  <c r="D10" i="6"/>
  <c r="G10" i="6"/>
  <c r="J10" i="6"/>
  <c r="D11" i="6"/>
  <c r="G11" i="6"/>
  <c r="J11" i="6"/>
  <c r="D12" i="6"/>
  <c r="G12" i="6"/>
  <c r="J12" i="6"/>
  <c r="D13" i="6"/>
  <c r="G13" i="6"/>
  <c r="J13" i="6"/>
  <c r="D14" i="6"/>
  <c r="G14" i="6"/>
  <c r="J14" i="6"/>
  <c r="D15" i="6"/>
  <c r="G15" i="6"/>
  <c r="J15" i="6"/>
  <c r="D16" i="6"/>
  <c r="G16" i="6"/>
  <c r="J16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B15" i="8"/>
  <c r="B16" i="8" s="1"/>
  <c r="B18" i="8" s="1"/>
  <c r="C14" i="10"/>
  <c r="C13" i="10"/>
  <c r="D27" i="10"/>
  <c r="D26" i="10"/>
  <c r="D25" i="10"/>
  <c r="B25" i="10"/>
  <c r="C21" i="10"/>
  <c r="G18" i="10"/>
  <c r="F18" i="10"/>
  <c r="B26" i="10"/>
  <c r="E26" i="10" s="1"/>
  <c r="G19" i="10"/>
  <c r="F19" i="10"/>
  <c r="B27" i="10"/>
  <c r="G20" i="10"/>
  <c r="F20" i="10"/>
  <c r="B26" i="13"/>
  <c r="C9" i="13"/>
  <c r="C26" i="13" s="1"/>
  <c r="B46" i="13"/>
  <c r="N40" i="13"/>
  <c r="B57" i="13"/>
  <c r="N48" i="13"/>
  <c r="F8" i="15"/>
  <c r="G5" i="15"/>
  <c r="G8" i="15" l="1"/>
  <c r="H5" i="15"/>
  <c r="H8" i="15" s="1"/>
  <c r="N57" i="13"/>
  <c r="E5" i="6"/>
  <c r="B59" i="13"/>
  <c r="H5" i="6" s="1"/>
  <c r="N46" i="13"/>
  <c r="N59" i="13" s="1"/>
  <c r="B5" i="6"/>
  <c r="C27" i="10"/>
  <c r="G21" i="10"/>
  <c r="F21" i="10"/>
  <c r="B28" i="10"/>
  <c r="E25" i="10"/>
  <c r="D28" i="10"/>
  <c r="F25" i="10"/>
  <c r="H25" i="10" s="1"/>
  <c r="F26" i="10"/>
  <c r="H26" i="10" s="1"/>
  <c r="D30" i="8"/>
  <c r="D29" i="8"/>
  <c r="D28" i="8"/>
  <c r="E28" i="8" s="1"/>
  <c r="B18" i="7"/>
  <c r="F38" i="6"/>
  <c r="E38" i="6"/>
  <c r="F37" i="6"/>
  <c r="E37" i="6"/>
  <c r="F36" i="6"/>
  <c r="E36" i="6"/>
  <c r="F35" i="6"/>
  <c r="E35" i="6"/>
  <c r="F34" i="6"/>
  <c r="E34" i="6"/>
  <c r="F33" i="6"/>
  <c r="E33" i="6"/>
  <c r="F32" i="6"/>
  <c r="E32" i="6"/>
  <c r="B17" i="7"/>
  <c r="F31" i="6"/>
  <c r="E31" i="6"/>
  <c r="F30" i="6"/>
  <c r="E30" i="6"/>
  <c r="B16" i="7"/>
  <c r="F29" i="6"/>
  <c r="E29" i="6"/>
  <c r="F28" i="6"/>
  <c r="E28" i="6"/>
  <c r="F27" i="6"/>
  <c r="E27" i="6"/>
  <c r="F26" i="6"/>
  <c r="E26" i="6"/>
  <c r="B15" i="7"/>
  <c r="F25" i="6"/>
  <c r="E25" i="6"/>
  <c r="B13" i="7"/>
  <c r="F24" i="6"/>
  <c r="E24" i="6"/>
  <c r="B14" i="7"/>
  <c r="F23" i="6"/>
  <c r="E23" i="6"/>
  <c r="B12" i="7"/>
  <c r="F22" i="6"/>
  <c r="E22" i="6"/>
  <c r="F21" i="6"/>
  <c r="E21" i="6"/>
  <c r="E30" i="9"/>
  <c r="F30" i="9" s="1"/>
  <c r="D30" i="9"/>
  <c r="C30" i="9"/>
  <c r="B30" i="9"/>
  <c r="F18" i="9"/>
  <c r="E31" i="9"/>
  <c r="F31" i="9" s="1"/>
  <c r="D31" i="9"/>
  <c r="C31" i="9"/>
  <c r="B31" i="9"/>
  <c r="F19" i="9"/>
  <c r="AH46" i="4"/>
  <c r="G15" i="3"/>
  <c r="AH37" i="4"/>
  <c r="G14" i="3"/>
  <c r="B32" i="5"/>
  <c r="B21" i="5"/>
  <c r="D5" i="9"/>
  <c r="O48" i="4"/>
  <c r="B26" i="3"/>
  <c r="D16" i="5"/>
  <c r="C44" i="3"/>
  <c r="D44" i="3" s="1"/>
  <c r="AG54" i="4"/>
  <c r="C43" i="3"/>
  <c r="D43" i="3" s="1"/>
  <c r="AF54" i="4"/>
  <c r="C42" i="3"/>
  <c r="D42" i="3" s="1"/>
  <c r="AE54" i="4"/>
  <c r="C41" i="3"/>
  <c r="D41" i="3" s="1"/>
  <c r="AD54" i="4"/>
  <c r="C40" i="3"/>
  <c r="D40" i="3" s="1"/>
  <c r="AC54" i="4"/>
  <c r="C39" i="3"/>
  <c r="D39" i="3" s="1"/>
  <c r="AB54" i="4"/>
  <c r="C38" i="3"/>
  <c r="D38" i="3" s="1"/>
  <c r="E35" i="5"/>
  <c r="E36" i="5" s="1"/>
  <c r="AA54" i="4"/>
  <c r="E11" i="9"/>
  <c r="E7" i="9"/>
  <c r="C37" i="3"/>
  <c r="D37" i="3" s="1"/>
  <c r="Z54" i="4"/>
  <c r="C36" i="3"/>
  <c r="D36" i="3" s="1"/>
  <c r="Y54" i="4"/>
  <c r="E30" i="8"/>
  <c r="C35" i="3"/>
  <c r="D35" i="3" s="1"/>
  <c r="X54" i="4"/>
  <c r="C34" i="3"/>
  <c r="D34" i="3" s="1"/>
  <c r="W54" i="4"/>
  <c r="C33" i="3"/>
  <c r="D33" i="3" s="1"/>
  <c r="V54" i="4"/>
  <c r="C32" i="3"/>
  <c r="D32" i="3" s="1"/>
  <c r="U54" i="4"/>
  <c r="C31" i="3"/>
  <c r="D31" i="3" s="1"/>
  <c r="T54" i="4"/>
  <c r="C30" i="3"/>
  <c r="D30" i="3" s="1"/>
  <c r="S54" i="4"/>
  <c r="C29" i="3"/>
  <c r="D29" i="3" s="1"/>
  <c r="R54" i="4"/>
  <c r="C28" i="3"/>
  <c r="D28" i="3" s="1"/>
  <c r="Q54" i="4"/>
  <c r="E29" i="8"/>
  <c r="C27" i="3"/>
  <c r="D27" i="3" s="1"/>
  <c r="P54" i="4"/>
  <c r="C25" i="3"/>
  <c r="D25" i="3" s="1"/>
  <c r="N54" i="4"/>
  <c r="C24" i="3"/>
  <c r="D24" i="3" s="1"/>
  <c r="M54" i="4"/>
  <c r="C23" i="3"/>
  <c r="D23" i="3" s="1"/>
  <c r="L54" i="4"/>
  <c r="C22" i="3"/>
  <c r="D22" i="3" s="1"/>
  <c r="K54" i="4"/>
  <c r="C21" i="3"/>
  <c r="D21" i="3" s="1"/>
  <c r="J54" i="4"/>
  <c r="C20" i="3"/>
  <c r="D20" i="3" s="1"/>
  <c r="I54" i="4"/>
  <c r="C19" i="3"/>
  <c r="D19" i="3" s="1"/>
  <c r="H54" i="4"/>
  <c r="C18" i="3"/>
  <c r="D18" i="3" s="1"/>
  <c r="G54" i="4"/>
  <c r="C17" i="3"/>
  <c r="D17" i="3" s="1"/>
  <c r="F54" i="4"/>
  <c r="C16" i="3"/>
  <c r="D16" i="3" s="1"/>
  <c r="C35" i="5"/>
  <c r="C36" i="5" s="1"/>
  <c r="E54" i="4"/>
  <c r="C11" i="9"/>
  <c r="C7" i="9"/>
  <c r="C15" i="3"/>
  <c r="D15" i="3" s="1"/>
  <c r="D54" i="4"/>
  <c r="AH26" i="4"/>
  <c r="C26" i="4"/>
  <c r="B12" i="14"/>
  <c r="B13" i="14" s="1"/>
  <c r="F10" i="14"/>
  <c r="F12" i="14" s="1"/>
  <c r="F13" i="14" s="1"/>
  <c r="F10" i="9"/>
  <c r="B10" i="9"/>
  <c r="E15" i="14"/>
  <c r="E17" i="14" s="1"/>
  <c r="E18" i="14" s="1"/>
  <c r="E7" i="14"/>
  <c r="E8" i="14" s="1"/>
  <c r="D15" i="14"/>
  <c r="D17" i="14" s="1"/>
  <c r="D18" i="14" s="1"/>
  <c r="D7" i="14"/>
  <c r="D8" i="14" s="1"/>
  <c r="C15" i="14"/>
  <c r="C17" i="14" s="1"/>
  <c r="C18" i="14" s="1"/>
  <c r="C7" i="14"/>
  <c r="C8" i="14" s="1"/>
  <c r="B15" i="14"/>
  <c r="B7" i="14"/>
  <c r="B8" i="14" s="1"/>
  <c r="F5" i="14"/>
  <c r="F7" i="14" s="1"/>
  <c r="F8" i="14" s="1"/>
  <c r="B17" i="14" l="1"/>
  <c r="B18" i="14" s="1"/>
  <c r="F15" i="14"/>
  <c r="F17" i="14" s="1"/>
  <c r="F18" i="14" s="1"/>
  <c r="B5" i="9"/>
  <c r="C48" i="4"/>
  <c r="B14" i="3"/>
  <c r="B16" i="5"/>
  <c r="AH48" i="4"/>
  <c r="B5" i="3"/>
  <c r="C17" i="9"/>
  <c r="C20" i="9" s="1"/>
  <c r="C12" i="9"/>
  <c r="E17" i="9"/>
  <c r="E20" i="9" s="1"/>
  <c r="E12" i="9"/>
  <c r="B8" i="3"/>
  <c r="D53" i="5"/>
  <c r="D52" i="5"/>
  <c r="D51" i="5"/>
  <c r="D50" i="5"/>
  <c r="D37" i="5"/>
  <c r="C26" i="3"/>
  <c r="D26" i="3" s="1"/>
  <c r="D35" i="5"/>
  <c r="D36" i="5" s="1"/>
  <c r="O54" i="4"/>
  <c r="D11" i="9"/>
  <c r="D7" i="9"/>
  <c r="C28" i="10"/>
  <c r="E28" i="10" s="1"/>
  <c r="F28" i="10" s="1"/>
  <c r="H28" i="10" s="1"/>
  <c r="E27" i="10"/>
  <c r="F27" i="10" s="1"/>
  <c r="H27" i="10" s="1"/>
  <c r="B17" i="6"/>
  <c r="A48" i="3" s="1"/>
  <c r="D5" i="6"/>
  <c r="D17" i="6" s="1"/>
  <c r="H17" i="6"/>
  <c r="D48" i="3" s="1"/>
  <c r="J5" i="6"/>
  <c r="J17" i="6" s="1"/>
  <c r="E17" i="6"/>
  <c r="G5" i="6"/>
  <c r="G17" i="6" s="1"/>
  <c r="B6" i="7" s="1"/>
  <c r="B7" i="7" l="1"/>
  <c r="F48" i="3"/>
  <c r="B5" i="7"/>
  <c r="C48" i="3"/>
  <c r="D17" i="9"/>
  <c r="D20" i="9" s="1"/>
  <c r="D12" i="9"/>
  <c r="B6" i="3"/>
  <c r="AH54" i="4"/>
  <c r="B7" i="3" s="1"/>
  <c r="B53" i="5"/>
  <c r="B52" i="5"/>
  <c r="B51" i="5"/>
  <c r="B50" i="5"/>
  <c r="B37" i="5"/>
  <c r="C14" i="3"/>
  <c r="D14" i="3" s="1"/>
  <c r="B35" i="5"/>
  <c r="B36" i="5" s="1"/>
  <c r="C54" i="4"/>
  <c r="B11" i="9"/>
  <c r="B7" i="9"/>
  <c r="F5" i="9"/>
  <c r="F7" i="9" s="1"/>
  <c r="B17" i="9" l="1"/>
  <c r="B12" i="9"/>
  <c r="F11" i="9"/>
  <c r="F17" i="9" l="1"/>
  <c r="F12" i="9"/>
  <c r="E32" i="9"/>
  <c r="F32" i="9" s="1"/>
  <c r="D32" i="9"/>
  <c r="C32" i="9"/>
  <c r="B32" i="9"/>
  <c r="B20" i="9"/>
  <c r="F20" i="9" l="1"/>
  <c r="B21" i="9"/>
  <c r="B25" i="9" l="1"/>
  <c r="B28" i="9" s="1"/>
  <c r="C16" i="9"/>
  <c r="C21" i="9" s="1"/>
  <c r="C25" i="9" l="1"/>
  <c r="C28" i="9" s="1"/>
  <c r="D16" i="9"/>
  <c r="D21" i="9" s="1"/>
  <c r="D25" i="9" l="1"/>
  <c r="D28" i="9" s="1"/>
  <c r="E16" i="9"/>
  <c r="E21" i="9" s="1"/>
  <c r="E25" i="9" l="1"/>
  <c r="F21" i="9"/>
  <c r="B10" i="3" s="1"/>
  <c r="E28" i="9" l="1"/>
  <c r="F28" i="9" s="1"/>
  <c r="F25" i="9"/>
</calcChain>
</file>

<file path=xl/sharedStrings.xml><?xml version="1.0" encoding="utf-8"?>
<sst xmlns="http://schemas.openxmlformats.org/spreadsheetml/2006/main" count="1315" uniqueCount="909">
  <si>
    <t>Claire Studio — FP&amp;A Portfolio Model</t>
  </si>
  <si>
    <t>Kate Kucherova  |  Portfolio Project 2026  |  CMA Candidate</t>
  </si>
  <si>
    <t>About This Project</t>
  </si>
  <si>
    <t>Business:</t>
  </si>
  <si>
    <t>Claire — Studio of Physical &amp; Aesthetic Development. Children's fitness, dance &amp; martial arts. Bataysk, Russia. Nov 2019 – Jul 2022.</t>
  </si>
  <si>
    <t>Data source:</t>
  </si>
  <si>
    <t>This workbook is based on cleaned Claire Studio financial records. Model_Data supports the monthly P&amp;L, dashboard, KPIs, and financial schedules. Ballet shoe COGS uses a weighted-average estimate.</t>
  </si>
  <si>
    <t>What was built:</t>
  </si>
  <si>
    <t>Full FP&amp;A model: monthly P&amp;L, KPIs, budget vs actual, variance analysis, unit economics, break-even, management financials, accounting schedules.</t>
  </si>
  <si>
    <t>Skills shown:</t>
  </si>
  <si>
    <t>Financial data cleanup, revenue and expense classification, COGS and margin analysis, budgeting, variance explanation, unit economics, and accounting treatment.</t>
  </si>
  <si>
    <t>Budget Methodology Note</t>
  </si>
  <si>
    <t>The 2021 management budget was prepared using the late-2020 run-rate, adjusted for second hall expansion rent and utilities, expected program enrollment growth, fixed payroll, and planned merchandise activity.</t>
  </si>
  <si>
    <t>Tab</t>
  </si>
  <si>
    <t>What You'll Find</t>
  </si>
  <si>
    <t>Business_Overview</t>
  </si>
  <si>
    <t>Business snapshot, programs, pricing, startup investment, key assumptions</t>
  </si>
  <si>
    <t>Management_Dashboard</t>
  </si>
  <si>
    <t>KPI summary, revenue trend, program mix, budget check — first visual impression</t>
  </si>
  <si>
    <t>Monthly_P&amp;L</t>
  </si>
  <si>
    <t>Month-by-month P&amp;L: class revenue by program, merchandise, COGS, operating expenses, NOI</t>
  </si>
  <si>
    <t>Annual_KPIs</t>
  </si>
  <si>
    <t>Annual revenue by program, margins, and KPIs by year</t>
  </si>
  <si>
    <t>Budget_vs_Actual</t>
  </si>
  <si>
    <t>2021 monthly and annual budget vs actual with F/U flags</t>
  </si>
  <si>
    <t>Variance_Commentary</t>
  </si>
  <si>
    <t>Plain-English management commentary explaining 2021 results vs budget</t>
  </si>
  <si>
    <t>Second_Hall_BreakEven</t>
  </si>
  <si>
    <t>Break-even analysis for the second hall expansion decision</t>
  </si>
  <si>
    <t>Management_Financials</t>
  </si>
  <si>
    <t>Income statement, cash flow, and financial position — annual view</t>
  </si>
  <si>
    <t>Cost_Per_Class_Model</t>
  </si>
  <si>
    <t>Unit economics: revenue per class, contribution margin, instructor cost logic</t>
  </si>
  <si>
    <t>Accounting_Treatment</t>
  </si>
  <si>
    <t>How each category was classified — cash to accrual bridge</t>
  </si>
  <si>
    <t>Journal_Entries</t>
  </si>
  <si>
    <t>Representative month-end journal entries with debit/credit/balance check</t>
  </si>
  <si>
    <t>———  Supporting Data Tabs  ———</t>
  </si>
  <si>
    <t>Budget_Assumptions</t>
  </si>
  <si>
    <t>Monthly budget build-up by line item supporting Budget_vs_Actual</t>
  </si>
  <si>
    <t>Supporting reference</t>
  </si>
  <si>
    <t>Inventory_Rollforward</t>
  </si>
  <si>
    <t>Merchandise margin and COGS support schedule</t>
  </si>
  <si>
    <t>Fixed_Asset_Depreciation</t>
  </si>
  <si>
    <t>Straight-line depreciation schedule for equipment and improvements</t>
  </si>
  <si>
    <t>Model_Data</t>
  </si>
  <si>
    <t>Structured monthly source data. Feeds Monthly_PL and all downstream tabs. Do not edit.</t>
  </si>
  <si>
    <t>Data source</t>
  </si>
  <si>
    <t>Portfolio Version — 16 tabs  | Full model with audit log, correction history, and business valuation available on request.</t>
  </si>
  <si>
    <t>Claire Studio — Business Overview &amp; Key Assumptions</t>
  </si>
  <si>
    <t>Bataysk  |  Operating records: Nov 2019 – Jul 2022  |  Financial Case Study Portfolio  |  Amounts shown in $</t>
  </si>
  <si>
    <t>Claire Children’s Dance Studio was a service-based children’s activity business that generated revenue primarily from recurring class payments for dance, fitness, gymnastics, and karate programs.</t>
  </si>
  <si>
    <t>Business Snapshot</t>
  </si>
  <si>
    <t>Founders &amp; Roles</t>
  </si>
  <si>
    <t>Timeline</t>
  </si>
  <si>
    <t>Business name</t>
  </si>
  <si>
    <t>Claire — Studio of Physical &amp; Aesthetic Development</t>
  </si>
  <si>
    <t>Kate Kucherova</t>
  </si>
  <si>
    <t>Co-founder, owner, financial manager</t>
  </si>
  <si>
    <t>Nov 2019</t>
  </si>
  <si>
    <t>Studio opened with Hall 1; choreography and gymnastics programs launched</t>
  </si>
  <si>
    <t>Trade name</t>
  </si>
  <si>
    <t>Claire</t>
  </si>
  <si>
    <t>Teaching role</t>
  </si>
  <si>
    <t>Fitness instructor — no salary drawn</t>
  </si>
  <si>
    <t>Dec 2019</t>
  </si>
  <si>
    <t>First full operating month; setup costs exceeded early revenue</t>
  </si>
  <si>
    <t>Location</t>
  </si>
  <si>
    <t>Bataysk, Rostov Oblast, Russia</t>
  </si>
  <si>
    <t>Finance role</t>
  </si>
  <si>
    <t>P&amp;L, budgeting, cash flow, payroll, vendors</t>
  </si>
  <si>
    <t>Jan–Mar 2020</t>
  </si>
  <si>
    <t>Enrollment and revenue grew; fitness program added</t>
  </si>
  <si>
    <t>Business type</t>
  </si>
  <si>
    <t>Partnership — 2 co-founders</t>
  </si>
  <si>
    <t>Sveta Strelnikova</t>
  </si>
  <si>
    <t>Co-founder, choreography partner</t>
  </si>
  <si>
    <t>Apr–May 2020</t>
  </si>
  <si>
    <t>COVID closure period; no operating revenue</t>
  </si>
  <si>
    <t>Legal form</t>
  </si>
  <si>
    <t>Sole proprietor, simplified tax regime</t>
  </si>
  <si>
    <t>Qualification</t>
  </si>
  <si>
    <t>Master of Sports in Gymnastics</t>
  </si>
  <si>
    <t>Jun 2020</t>
  </si>
  <si>
    <t>Studio reopened; choreography and fitness activity resumed</t>
  </si>
  <si>
    <t>Industry</t>
  </si>
  <si>
    <t>Children's fitness, dance &amp; martial arts</t>
  </si>
  <si>
    <t xml:space="preserve">Teaching role </t>
  </si>
  <si>
    <t>Lead choreography — 3 groups</t>
  </si>
  <si>
    <t>Sep 2020</t>
  </si>
  <si>
    <t>Karate program launched; instructor revenue-share model introduced</t>
  </si>
  <si>
    <t>Currency shown</t>
  </si>
  <si>
    <t>Presentation currency: $</t>
  </si>
  <si>
    <t>Compensation</t>
  </si>
  <si>
    <t>$750/mo salary + profit distribution</t>
  </si>
  <si>
    <t>Early 2021</t>
  </si>
  <si>
    <t>Hall 2 leased to expand capacity and support subrental income</t>
  </si>
  <si>
    <t>Clean Cash Ledger, tax receipts, owner records, owner recollection</t>
  </si>
  <si>
    <t>Exit</t>
  </si>
  <si>
    <t>Business operations ended in July 2022 after owner relocation to the United States.</t>
  </si>
  <si>
    <t>Apr 2021</t>
  </si>
  <si>
    <t>Strong spring performance month with revenue above $12K</t>
  </si>
  <si>
    <t>May 2021</t>
  </si>
  <si>
    <t>Fitness pricing increased by 50%</t>
  </si>
  <si>
    <t>Sep 2021</t>
  </si>
  <si>
    <t>Choreography and karate pricing increased by 25%</t>
  </si>
  <si>
    <t>Jun–Jul 2022</t>
  </si>
  <si>
    <t>Business wind-down and transition period</t>
  </si>
  <si>
    <t>Jul 2022</t>
  </si>
  <si>
    <t>Model period ends after business operations transitioned</t>
  </si>
  <si>
    <t>Program Details &amp; Pricing</t>
  </si>
  <si>
    <t>Program</t>
  </si>
  <si>
    <t>Groups</t>
  </si>
  <si>
    <t>Students/Group</t>
  </si>
  <si>
    <t>Capacity</t>
  </si>
  <si>
    <t>Days/Week</t>
  </si>
  <si>
    <t>Sessions/Mo</t>
  </si>
  <si>
    <t>Price at Launch ($)</t>
  </si>
  <si>
    <t>Revised Price ($)</t>
  </si>
  <si>
    <t>Notes</t>
  </si>
  <si>
    <t>Choreography</t>
  </si>
  <si>
    <t>$250</t>
  </si>
  <si>
    <t>$312.50 (Sep 2021)</t>
  </si>
  <si>
    <t>Instructor is co-founder,  Core revenue stream throughout</t>
  </si>
  <si>
    <t>Fitness</t>
  </si>
  <si>
    <t>$125</t>
  </si>
  <si>
    <t>$187.50 (May 2021)</t>
  </si>
  <si>
    <t>Instructor is founder, zero direct labor cost</t>
  </si>
  <si>
    <t>Karate</t>
  </si>
  <si>
    <t>Instructor revenue share: 40% at launch, revised to 50% from Sep 2021</t>
  </si>
  <si>
    <t>Gymnastics</t>
  </si>
  <si>
    <t>Discontinued</t>
  </si>
  <si>
    <t>Nov 2019–Mar 2020. Phased out after COVID</t>
  </si>
  <si>
    <t>Hall Rental</t>
  </si>
  <si>
    <t>—</t>
  </si>
  <si>
    <t>Variable</t>
  </si>
  <si>
    <t>Subrental of Hall 2 from early 2021</t>
  </si>
  <si>
    <t>Startup Investment — Opening Costs (Nov 2019)</t>
  </si>
  <si>
    <t>Category</t>
  </si>
  <si>
    <t>Description</t>
  </si>
  <si>
    <t>Amount ($)</t>
  </si>
  <si>
    <t>Accounting Treatment</t>
  </si>
  <si>
    <t>Equipment &amp; Fixtures</t>
  </si>
  <si>
    <t>Mirrors, mats, benches, wardrobes, chairs, curtains</t>
  </si>
  <si>
    <t>Capitalize &amp; depreciate</t>
  </si>
  <si>
    <t>Mirror 7yr; furniture 5yr; mats 3yr</t>
  </si>
  <si>
    <t>Leasehold Improvements</t>
  </si>
  <si>
    <t>Flooring, painting, installed lighting</t>
  </si>
  <si>
    <t>Amortize over lease</t>
  </si>
  <si>
    <t>3-year lease term</t>
  </si>
  <si>
    <t>Advertising</t>
  </si>
  <si>
    <t>Print ads, Facebook, flyers, business cards</t>
  </si>
  <si>
    <t>Expense at launch</t>
  </si>
  <si>
    <t>Consumed immediately</t>
  </si>
  <si>
    <t>Rent first month</t>
  </si>
  <si>
    <t>Security deposit + first month Hall 1</t>
  </si>
  <si>
    <t>Prepaid rent / deposit</t>
  </si>
  <si>
    <t>First month expensed Dec 2019</t>
  </si>
  <si>
    <t>Office &amp; Signage</t>
  </si>
  <si>
    <t>Signs, frames, keys, shoe covers, hardware</t>
  </si>
  <si>
    <t>Below capitalization threshold</t>
  </si>
  <si>
    <t>TOTAL</t>
  </si>
  <si>
    <t>Opening investment estimate</t>
  </si>
  <si>
    <t>Key Assumptions &amp; Methodology Notes</t>
  </si>
  <si>
    <t>Exchange rate</t>
  </si>
  <si>
    <t>All amounts shown in $ for portfolio presentation.</t>
  </si>
  <si>
    <t>Missing periods</t>
  </si>
  <si>
    <t>Apr–May 2020 unavailable — studio closed (COVID lockdown). Excluded from ledger; impact analyzed in Variance Analysis tab.</t>
  </si>
  <si>
    <t>Payroll classification</t>
  </si>
  <si>
    <t>Partner fixed salary: $750/mo = Payroll Expense; above fixed salary = Partner Distribution (equity). Karate instructor: revenue share = operating expense.</t>
  </si>
  <si>
    <t>Reconstructed data</t>
  </si>
  <si>
    <t>Opening budget and some early 2020 figures reconstructed from owner recollection. All reconstructed items are noted where they appear.</t>
  </si>
  <si>
    <t>Depreciation</t>
  </si>
  <si>
    <t>Mirror + install: 7yr straight-line ($27/mo). Other equipment: 5yr ($23/mo). Leasehold improvements: 3yr ($15/mo). Total: ~$65/month from Jan 2020.</t>
  </si>
  <si>
    <t>Claire Studio FP&amp;A and Small Business Finance Model — Management Dashboard</t>
  </si>
  <si>
    <t>Built from real small-business operating records. Source data cleaned and adapted into U.S.-style presentation dollars.</t>
  </si>
  <si>
    <t>KPI</t>
  </si>
  <si>
    <t>Value</t>
  </si>
  <si>
    <t>Interpretation</t>
  </si>
  <si>
    <t>All-period Revenue</t>
  </si>
  <si>
    <t>Total revenue from monthly P&amp;L</t>
  </si>
  <si>
    <t>All-period NOI</t>
  </si>
  <si>
    <t>Net operating income / cash flow before owner items</t>
  </si>
  <si>
    <t>All-period Margin</t>
  </si>
  <si>
    <t>NOI ÷ Revenue</t>
  </si>
  <si>
    <t>2021 Revenue</t>
  </si>
  <si>
    <t>Best full-year baseline</t>
  </si>
  <si>
    <t>2022 Avg Monthly Revenue</t>
  </si>
  <si>
    <t>Partial year run-rate through July</t>
  </si>
  <si>
    <t>Cumulative Cash After Owners</t>
  </si>
  <si>
    <t>After owner contributions/distributions</t>
  </si>
  <si>
    <t>Period</t>
  </si>
  <si>
    <t>Revenue</t>
  </si>
  <si>
    <t>Net Operating Income</t>
  </si>
  <si>
    <t>Net Margin %</t>
  </si>
  <si>
    <t>Expense Driver</t>
  </si>
  <si>
    <t>All-Period Amount</t>
  </si>
  <si>
    <t>2019-11</t>
  </si>
  <si>
    <t>Payroll</t>
  </si>
  <si>
    <t>2019-12</t>
  </si>
  <si>
    <t>Rent</t>
  </si>
  <si>
    <t>2020-01</t>
  </si>
  <si>
    <t>Utilities</t>
  </si>
  <si>
    <t>2020-02</t>
  </si>
  <si>
    <t>2020-03</t>
  </si>
  <si>
    <t>Tax</t>
  </si>
  <si>
    <t>2020-06</t>
  </si>
  <si>
    <t>COGS</t>
  </si>
  <si>
    <t>2020-07</t>
  </si>
  <si>
    <t>Other OpEx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</si>
  <si>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</si>
  <si>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</si>
  <si>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</si>
  <si>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</si>
  <si>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</si>
  <si>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</si>
  <si>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</si>
  <si>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</si>
  <si>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</si>
  <si>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</si>
  <si>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</si>
  <si>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</si>
  <si>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</si>
  <si>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</si>
  <si>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</si>
  <si>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</si>
  <si>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</si>
  <si>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</si>
  <si>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</si>
  <si>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</si>
  <si>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</si>
  <si>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</si>
  <si>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</si>
  <si>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</si>
  <si>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2021 Budget Check</t>
  </si>
  <si>
    <t>Budget Revenue</t>
  </si>
  <si>
    <t>Actual Revenue</t>
  </si>
  <si>
    <t>Revenue Variance</t>
  </si>
  <si>
    <t>Budget NOI</t>
  </si>
  <si>
    <t>Actual NOI</t>
  </si>
  <si>
    <t>NOI Variance</t>
  </si>
  <si>
    <t>Comment</t>
  </si>
  <si>
    <t>Actual NOI beat budget; expansion was supported by revenue growth.</t>
  </si>
  <si>
    <t>Claire Studio — Monthly P&amp;L Statement</t>
  </si>
  <si>
    <t>Amounts shown in $  |  Source: Model_Data  |  Apr–May 2020 excluded (COVID closure)  |  Ballet shoes use weighted-average estimated COGS; gymnastic suits use recorded costs</t>
  </si>
  <si>
    <t>Nov</t>
  </si>
  <si>
    <t>Dec</t>
  </si>
  <si>
    <t>Jan</t>
  </si>
  <si>
    <t>Feb</t>
  </si>
  <si>
    <t>Mar</t>
  </si>
  <si>
    <t>Jun</t>
  </si>
  <si>
    <t>Jul</t>
  </si>
  <si>
    <t>Aug</t>
  </si>
  <si>
    <t>Sep</t>
  </si>
  <si>
    <t>Oct</t>
  </si>
  <si>
    <t>Apr</t>
  </si>
  <si>
    <t>May</t>
  </si>
  <si>
    <t>All Periods</t>
  </si>
  <si>
    <t xml:space="preserve">  Class Revenue</t>
  </si>
  <si>
    <t xml:space="preserve">  Choreography</t>
  </si>
  <si>
    <t>4000</t>
  </si>
  <si>
    <t xml:space="preserve">  Fitness</t>
  </si>
  <si>
    <t>4010</t>
  </si>
  <si>
    <t xml:space="preserve">  Karate</t>
  </si>
  <si>
    <t>4020</t>
  </si>
  <si>
    <t xml:space="preserve">  Gymnastics</t>
  </si>
  <si>
    <t>4030</t>
  </si>
  <si>
    <t>Total Class Revenue</t>
  </si>
  <si>
    <t xml:space="preserve">  Merchandise Revenue</t>
  </si>
  <si>
    <t xml:space="preserve">  Ballet Shoes</t>
  </si>
  <si>
    <t>4060a</t>
  </si>
  <si>
    <t xml:space="preserve">  Gymnastic Suits</t>
  </si>
  <si>
    <t>4060b</t>
  </si>
  <si>
    <t xml:space="preserve">  Merchandise — Other</t>
  </si>
  <si>
    <t>4060c</t>
  </si>
  <si>
    <t>Total Merchandise Revenue</t>
  </si>
  <si>
    <t xml:space="preserve">  Other Revenue</t>
  </si>
  <si>
    <t xml:space="preserve">  Hall Rental</t>
  </si>
  <si>
    <t>4040</t>
  </si>
  <si>
    <t xml:space="preserve">  Utilities Reimb.</t>
  </si>
  <si>
    <t>4050</t>
  </si>
  <si>
    <t xml:space="preserve">  Events &amp; Photos</t>
  </si>
  <si>
    <t>4070</t>
  </si>
  <si>
    <t xml:space="preserve">  Other</t>
  </si>
  <si>
    <t>4080</t>
  </si>
  <si>
    <t>Total Other Revenue</t>
  </si>
  <si>
    <t>TOTAL REVENUE</t>
  </si>
  <si>
    <t xml:space="preserve">  Cost of Goods Sold  (inventory items only)</t>
  </si>
  <si>
    <t xml:space="preserve">  Ballet Shoes — COGS</t>
  </si>
  <si>
    <t>5050</t>
  </si>
  <si>
    <t xml:space="preserve">  Gymnastic Suits — COGS</t>
  </si>
  <si>
    <t>5010</t>
  </si>
  <si>
    <t>Total COGS</t>
  </si>
  <si>
    <t xml:space="preserve">  Cost of Services</t>
  </si>
  <si>
    <t xml:space="preserve">  Payroll — Co-Founder salary + Karate Instructor rev share + substitutes</t>
  </si>
  <si>
    <t>5000</t>
  </si>
  <si>
    <t xml:space="preserve">  Class Supplies</t>
  </si>
  <si>
    <t>5030</t>
  </si>
  <si>
    <t xml:space="preserve">  Event &amp; Competition Costs</t>
  </si>
  <si>
    <t>5040</t>
  </si>
  <si>
    <t>Total Cost of Services</t>
  </si>
  <si>
    <t xml:space="preserve">  Operating Expenses</t>
  </si>
  <si>
    <t xml:space="preserve">  Rent</t>
  </si>
  <si>
    <t>6000</t>
  </si>
  <si>
    <t xml:space="preserve">  Utilities</t>
  </si>
  <si>
    <t>6010</t>
  </si>
  <si>
    <t xml:space="preserve">  Advertising</t>
  </si>
  <si>
    <t>6020</t>
  </si>
  <si>
    <t xml:space="preserve">  Business Tax</t>
  </si>
  <si>
    <t>6030</t>
  </si>
  <si>
    <t xml:space="preserve">  Equipment &amp; Supplies</t>
  </si>
  <si>
    <t>6040</t>
  </si>
  <si>
    <t xml:space="preserve">  Other Operating</t>
  </si>
  <si>
    <t>6070</t>
  </si>
  <si>
    <t>Total Operating Expenses</t>
  </si>
  <si>
    <t>NET OPERATING INCOME</t>
  </si>
  <si>
    <t xml:space="preserve">  Owner Items  (equity — not expenses)</t>
  </si>
  <si>
    <t xml:space="preserve">  Owner / Partner Distributions</t>
  </si>
  <si>
    <t>3100</t>
  </si>
  <si>
    <t xml:space="preserve">  Owner Contribution (opening capital)</t>
  </si>
  <si>
    <t>3000</t>
  </si>
  <si>
    <t>Net Operating Margin %</t>
  </si>
  <si>
    <t>Source: Cleaned cash-ledger transaction records  |  Ballet shoes and gymnastic suits on inventory/COGS basis  |  Payroll/distributions cleaned; owner distributions treated as equity items</t>
  </si>
  <si>
    <t>Claire Studio — Annual Summary &amp; KPIs</t>
  </si>
  <si>
    <t>Amounts shown in $  |  Source: Cleaned cash-ledger transaction records via Monthly P&amp;L  |  2019=2mo | 2020=10mo | 2021=12mo | 2022=7mo (through July)</t>
  </si>
  <si>
    <t>Notes / Context</t>
  </si>
  <si>
    <t xml:space="preserve">  Revenue Summary</t>
  </si>
  <si>
    <t>Months of operation</t>
  </si>
  <si>
    <t>2019: Nov–Dec | 2020: Apr–May excluded (COVID) | 2022: Jan–Jul</t>
  </si>
  <si>
    <t>Core program throughout</t>
  </si>
  <si>
    <t>Owner = instructor, zero labor cost</t>
  </si>
  <si>
    <t>Launched Sep 2020. Revenue share with Karate Instructor</t>
  </si>
  <si>
    <t>Early program. Discontinued after COVID</t>
  </si>
  <si>
    <t>Hall 2 subrental from early 2021</t>
  </si>
  <si>
    <t>Ballet Shoes</t>
  </si>
  <si>
    <t>Inventory resale. 54 pairs. Cost range based on source records</t>
  </si>
  <si>
    <t>Gymnastic Suits</t>
  </si>
  <si>
    <t>53 suits. Owner sewed (2020), tailor from Dec 2020</t>
  </si>
  <si>
    <t>Events &amp; Photos</t>
  </si>
  <si>
    <t>Competition entry fees, performance photos</t>
  </si>
  <si>
    <t>Other Revenue</t>
  </si>
  <si>
    <t>FY2021 peak full year; 2022 is partial through July.</t>
  </si>
  <si>
    <t xml:space="preserve">  Cost of Goods Sold</t>
  </si>
  <si>
    <t>Ballet Shoes COGS</t>
  </si>
  <si>
    <t>Weighted-average estimated COGS from item-level purchase history; total ballet shoe cost $1,078.75.</t>
  </si>
  <si>
    <t>Gymnastic Suit COGS</t>
  </si>
  <si>
    <t>Fabric/tailor/chevron/thread costs captured in clean ledger.</t>
  </si>
  <si>
    <t>TOTAL COGS</t>
  </si>
  <si>
    <t>COGS shown separately for resale/inventory items.</t>
  </si>
  <si>
    <t>Co-Founder $750/mo fixed + Karate Instructor rev share (40%→50%) + substitutes</t>
  </si>
  <si>
    <t>Increased with Hall 2 expansion in early 2021</t>
  </si>
  <si>
    <t>Local print + Facebook. Consistently low</t>
  </si>
  <si>
    <t>Business Tax</t>
  </si>
  <si>
    <t>Simplified tax. 2020 waived under COVID relief</t>
  </si>
  <si>
    <t>Class Supplies &amp; Events</t>
  </si>
  <si>
    <t>Class materials plus competition/event costs</t>
  </si>
  <si>
    <t>Equipment &amp; Supplies</t>
  </si>
  <si>
    <t>Other Operating</t>
  </si>
  <si>
    <t>TOTAL EXPENSES</t>
  </si>
  <si>
    <t xml:space="preserve">  Profitability</t>
  </si>
  <si>
    <t>Revenue minus all operating expenses, COGS, and service costs</t>
  </si>
  <si>
    <t>NOI ÷ Total Revenue</t>
  </si>
  <si>
    <t>Avg Monthly Revenue</t>
  </si>
  <si>
    <t>Best cross-year comparison metric given partial years</t>
  </si>
  <si>
    <t>Owner / Partner Distributions</t>
  </si>
  <si>
    <t>Combined Owner + Co-Founder distributions. Equity item — not an operating expense.</t>
  </si>
  <si>
    <t xml:space="preserve">  Merchandise Unit Economics</t>
  </si>
  <si>
    <t>Ballet Shoes — Revenue</t>
  </si>
  <si>
    <t>54 pairs sold, 3 price tiers</t>
  </si>
  <si>
    <t>Ballet Shoes — COGS</t>
  </si>
  <si>
    <t>Weighted-average estimated cost allocated by sales-period revenue.</t>
  </si>
  <si>
    <t>Ballet Shoes — Gross Profit</t>
  </si>
  <si>
    <t>All-period GP $572.50; all-period gross margin 34.7%.</t>
  </si>
  <si>
    <t>Gymnastic Suits — Revenue</t>
  </si>
  <si>
    <t>53 suits sold</t>
  </si>
  <si>
    <t>Gymnastic Suits — COGS</t>
  </si>
  <si>
    <t>Materials, tailoring, and sewing supplies</t>
  </si>
  <si>
    <t>Gymnastic Suits — Gross Profit</t>
  </si>
  <si>
    <t>All-period GP $1,434; all-period gross margin 31.4%.</t>
  </si>
  <si>
    <t xml:space="preserve">  Key Performance Indicators</t>
  </si>
  <si>
    <t>Choreography % of revenue</t>
  </si>
  <si>
    <t>Declining share as karate and hall rental grew</t>
  </si>
  <si>
    <t>Karate % of revenue</t>
  </si>
  <si>
    <t>Grew from zero to ~18% of revenue</t>
  </si>
  <si>
    <t>Rent as % of revenue</t>
  </si>
  <si>
    <t>Primary fixed cost. Increased with Hall 2 expansion</t>
  </si>
  <si>
    <t>Payroll as % of revenue</t>
  </si>
  <si>
    <t>Low: Owner no salary; Karate Instructor on revenue share (variable)</t>
  </si>
  <si>
    <t>Best month</t>
  </si>
  <si>
    <t>Best month revenue</t>
  </si>
  <si>
    <t>Worst month</t>
  </si>
  <si>
    <t>Worst month revenue</t>
  </si>
  <si>
    <t xml:space="preserve">  Business Milestones</t>
  </si>
  <si>
    <t>Studio opens</t>
  </si>
  <si>
    <t>Hall 1. Choreography + gymnastics</t>
  </si>
  <si>
    <t>COVID closure</t>
  </si>
  <si>
    <t>Apr–May</t>
  </si>
  <si>
    <t>Two months zero revenue</t>
  </si>
  <si>
    <t>Karate launches</t>
  </si>
  <si>
    <t>Karate Instructor, 40% revenue share</t>
  </si>
  <si>
    <t>Hall 2 expansion</t>
  </si>
  <si>
    <t>Subrental income begins</t>
  </si>
  <si>
    <t>Strong student-count month</t>
  </si>
  <si>
    <t>$12,859 revenue | 53 students</t>
  </si>
  <si>
    <t>Fitness +50%</t>
  </si>
  <si>
    <t>$125 → $187.50/month</t>
  </si>
  <si>
    <t>Choreo/Karate +25%</t>
  </si>
  <si>
    <t>$250 → $312.50 | Instructor revenue share</t>
  </si>
  <si>
    <t>Business transfer</t>
  </si>
  <si>
    <t>Jun 2022</t>
  </si>
  <si>
    <t>Owner relocated to the United States</t>
  </si>
  <si>
    <t>Prepared by: Kate Kucherova  |  Portfolio Project 2026  |  Source: Original cash-ledger transaction records, Nov 2019–Jul 2022</t>
  </si>
  <si>
    <t>Claire Studio — 2021 Budget vs Actual</t>
  </si>
  <si>
    <t>Amounts shown in $ | Budget based on late-2020 run-rate and planned second hall expansion</t>
  </si>
  <si>
    <t>Month</t>
  </si>
  <si>
    <t>Revenue Var.</t>
  </si>
  <si>
    <t>Budget Expenses</t>
  </si>
  <si>
    <t>Actual Expenses</t>
  </si>
  <si>
    <t>Expense Var.</t>
  </si>
  <si>
    <t>NOI Var.</t>
  </si>
  <si>
    <t>Total</t>
  </si>
  <si>
    <t>Annual Detail</t>
  </si>
  <si>
    <t>Budget</t>
  </si>
  <si>
    <t>Actual</t>
  </si>
  <si>
    <t>Variance $</t>
  </si>
  <si>
    <t>Variance %</t>
  </si>
  <si>
    <t>F / U</t>
  </si>
  <si>
    <t>Total Revenue</t>
  </si>
  <si>
    <t>Actual revenue exceeded budget.</t>
  </si>
  <si>
    <t>Choreography Revenue</t>
  </si>
  <si>
    <t>Core program performed above plan.</t>
  </si>
  <si>
    <t>Fitness Revenue</t>
  </si>
  <si>
    <t>Fitness recovered slower than budgeted.</t>
  </si>
  <si>
    <t>Karate Revenue</t>
  </si>
  <si>
    <t>Karate performed above plan.</t>
  </si>
  <si>
    <t>Hall Rental Income</t>
  </si>
  <si>
    <t>Second hall created rental income.</t>
  </si>
  <si>
    <t>Merchandise Revenue</t>
  </si>
  <si>
    <t>Small add-on revenue performed near plan.</t>
  </si>
  <si>
    <t>Events &amp; Other Revenue</t>
  </si>
  <si>
    <t>Other income was modest but helpful.</t>
  </si>
  <si>
    <t>Total Expenses</t>
  </si>
  <si>
    <t>Expenses were close to budget.</t>
  </si>
  <si>
    <t>Rent followed the planned expansion step-up.</t>
  </si>
  <si>
    <t>Payroll was slightly above plan.</t>
  </si>
  <si>
    <t>Utilities ran higher after expansion.</t>
  </si>
  <si>
    <t>Advertising spend was below plan.</t>
  </si>
  <si>
    <t>Tax expense tracked business activity.</t>
  </si>
  <si>
    <t>Merchandise COGS</t>
  </si>
  <si>
    <t>COGS above budget due to estimated weighted-average shoe cost and suit costs; merchandise margin remains positive.</t>
  </si>
  <si>
    <t>Class and event support costs were below plan.</t>
  </si>
  <si>
    <t>Small operating purchases were near plan.</t>
  </si>
  <si>
    <t>Other costs were slightly above plan.</t>
  </si>
  <si>
    <t>NOI beat budget because revenue growth covered fixed costs.</t>
  </si>
  <si>
    <t>Claire Studio — 2021 Variance Commentary</t>
  </si>
  <si>
    <t>Simple management commentary based on 2021 budget vs actual results</t>
  </si>
  <si>
    <t>Executive Summary</t>
  </si>
  <si>
    <t>Result</t>
  </si>
  <si>
    <t>Actual revenue exceeded the management budget.</t>
  </si>
  <si>
    <t>Expenses</t>
  </si>
  <si>
    <t>Expenses were close to budget despite the second hall expansion.</t>
  </si>
  <si>
    <t>NOI</t>
  </si>
  <si>
    <t>Profitability beat budget because revenue growth covered the higher fixed-cost base.</t>
  </si>
  <si>
    <t>Expansion Decision</t>
  </si>
  <si>
    <t>Qualitative</t>
  </si>
  <si>
    <t>The second hall increased rent and utilities, but also created capacity and hall rental income.</t>
  </si>
  <si>
    <t>Key Driver</t>
  </si>
  <si>
    <t>Budget vs Actual</t>
  </si>
  <si>
    <t>Impact</t>
  </si>
  <si>
    <t>Management Takeaway</t>
  </si>
  <si>
    <t>Revenue upside</t>
  </si>
  <si>
    <t>Core recurring program was stronger than expected.</t>
  </si>
  <si>
    <t>Growth program benefited from stronger enrollment.</t>
  </si>
  <si>
    <t>Revenue pressure</t>
  </si>
  <si>
    <t>Fitness recovered slower than planned and should be watched separately.</t>
  </si>
  <si>
    <t>Second hall created additional income beyond classes.</t>
  </si>
  <si>
    <t>Fixed cost step-up</t>
  </si>
  <si>
    <t>Rent was planned as the main expansion cost and stayed close to budget.</t>
  </si>
  <si>
    <t>Expense pressure</t>
  </si>
  <si>
    <t>Utilities were higher than planned after the larger space.</t>
  </si>
  <si>
    <t>Profitability</t>
  </si>
  <si>
    <t>The expansion was financially supported by revenue growth and controlled costs.</t>
  </si>
  <si>
    <t>Conclusion</t>
  </si>
  <si>
    <t>The 2021 budget shows a practical recovery-and-expansion plan. Actual results were stronger than budget mainly because class revenue and hall rental income covered the higher rent and utility base.</t>
  </si>
  <si>
    <t>This supports the business case that the second hall expansion improved capacity and helped protect profitability.</t>
  </si>
  <si>
    <t>Claire Studio — Second Hall Break-Even Analysis</t>
  </si>
  <si>
    <t>Simple recurring break-even view | Amounts in $ | Blue font = editable assumption</t>
  </si>
  <si>
    <t>1. Methodology</t>
  </si>
  <si>
    <t>Expansion timing</t>
  </si>
  <si>
    <t>Transition began in February 2021; full two-hall run-rate begins March 2021.</t>
  </si>
  <si>
    <t>Business use</t>
  </si>
  <si>
    <t>Old hall: fitness, karate, fitting/locker room. New hall: choreography, subrent, events, photos, and workshops.</t>
  </si>
  <si>
    <t>Analysis method</t>
  </si>
  <si>
    <t>Compare late-2020 exit run-rate to full two-hall 2021 run-rate, then estimate recurring break-even revenue needed for Hall 2.</t>
  </si>
  <si>
    <t>2. Expansion Inputs</t>
  </si>
  <si>
    <t>Input</t>
  </si>
  <si>
    <t>Formula / Source</t>
  </si>
  <si>
    <t>Hall 2 Rent</t>
  </si>
  <si>
    <t>Management rent structure</t>
  </si>
  <si>
    <t>Incremental monthly rent</t>
  </si>
  <si>
    <t>Baseline Avg Utilities</t>
  </si>
  <si>
    <t>Sep–Dec 2020 average</t>
  </si>
  <si>
    <t>Before second hall</t>
  </si>
  <si>
    <t>Two-Hall Avg Utilities</t>
  </si>
  <si>
    <t>Mar–Dec 2021 average</t>
  </si>
  <si>
    <t>After full two-hall run-rate</t>
  </si>
  <si>
    <t>Incremental Utilities</t>
  </si>
  <si>
    <t>Two-hall avg - baseline avg</t>
  </si>
  <si>
    <t>Estimated recurring utility increase</t>
  </si>
  <si>
    <t>Incremental Fixed Cost</t>
  </si>
  <si>
    <t>Hall 2 rent + incremental utilities</t>
  </si>
  <si>
    <t>Monthly cost to cover</t>
  </si>
  <si>
    <t>Contribution Margin Assumption</t>
  </si>
  <si>
    <t>Management assumption; see Cost_Per_Class_Model</t>
  </si>
  <si>
    <t>Applied only to incremental expansion-related revenue. Fixed rent/utilities are modeled separately; no additional fixed payroll was assumed.</t>
  </si>
  <si>
    <t>Revenue Needed to Break Even</t>
  </si>
  <si>
    <t>Incremental fixed cost ÷ contribution margin</t>
  </si>
  <si>
    <t>Recurring monthly revenue target</t>
  </si>
  <si>
    <t>3. Expansion-Related Revenue Indicators (supporting view only)</t>
  </si>
  <si>
    <t>Metric</t>
  </si>
  <si>
    <t>Amount / Run-Rate</t>
  </si>
  <si>
    <t>Mar-Dec 2021 Related Revenue Run-Rate</t>
  </si>
  <si>
    <t>Hall rental + events/photos + other; Mar-Dec average</t>
  </si>
  <si>
    <t>Below break-even target; supporting indicator only</t>
  </si>
  <si>
    <t>Nov-Dec 2021 Related Revenue Run-Rate</t>
  </si>
  <si>
    <t>Hall rental + events/photos + other; Nov-Dec average</t>
  </si>
  <si>
    <t>Close to fixed cost, but below target after contribution margin</t>
  </si>
  <si>
    <t>2021 Annual Related Revenue</t>
  </si>
  <si>
    <t>Hall rental + events/photos + other</t>
  </si>
  <si>
    <t>Direct secondary revenue supported by expanded space</t>
  </si>
  <si>
    <t>Decision Use</t>
  </si>
  <si>
    <t>Management judgment</t>
  </si>
  <si>
    <t>Not used as standalone break-even conclusion because the second hall supported total scheduling and capacity across the studio.</t>
  </si>
  <si>
    <t>4. Total Business Run-Rate Check</t>
  </si>
  <si>
    <t>Incremental Revenue</t>
  </si>
  <si>
    <t>Break-Even Revenue Target</t>
  </si>
  <si>
    <t>Variance to Target</t>
  </si>
  <si>
    <t>Late-2020 Exit Run-Rate</t>
  </si>
  <si>
    <t>Baseline only</t>
  </si>
  <si>
    <t>Mar-Dec 2021 Two-Hall Run-Rate</t>
  </si>
  <si>
    <t>Below target</t>
  </si>
  <si>
    <t>Nov-Dec 2021 Late-Year Run-Rate</t>
  </si>
  <si>
    <t>Covered</t>
  </si>
  <si>
    <t>5. Direct Revenue Support</t>
  </si>
  <si>
    <t>Amount</t>
  </si>
  <si>
    <t>2021 Hall Rental Revenue</t>
  </si>
  <si>
    <t>Direct revenue created by additional space</t>
  </si>
  <si>
    <t>2021 Event / Photo Revenue</t>
  </si>
  <si>
    <t>Additional activity supported by studio capacity</t>
  </si>
  <si>
    <t>2021 Other Revenue</t>
  </si>
  <si>
    <t>Small supporting revenue</t>
  </si>
  <si>
    <t>Total Related Revenue</t>
  </si>
  <si>
    <t>Formula</t>
  </si>
  <si>
    <t>Direct secondary revenue; separate from class capacity</t>
  </si>
  <si>
    <t>Management Conclusion</t>
  </si>
  <si>
    <t>Expansion-related revenue indicators alone did not fully cover the recurring break-even target. The total business run-rate is the primary decision view because the second hall supported scheduling, choreography capacity, subrent/events, and use of both halls. By late 2021, total incremental revenue covered the recurring fixed-cost target.</t>
  </si>
  <si>
    <t>Claire Studio — Management Financial Statements</t>
  </si>
  <si>
    <t>Management view prepared from the cleaned operating model with estimated merchandise COGS where exact inventory matching was unavailable. Amounts shown in $.</t>
  </si>
  <si>
    <t>Income Statement</t>
  </si>
  <si>
    <t>2019</t>
  </si>
  <si>
    <t>2020</t>
  </si>
  <si>
    <t>2021</t>
  </si>
  <si>
    <t>2022</t>
  </si>
  <si>
    <t>Cost of Goods Sold (incl. estimated shoe COGS)</t>
  </si>
  <si>
    <t>Gross Profit</t>
  </si>
  <si>
    <t>Cost of Services</t>
  </si>
  <si>
    <t>Operating Expenses</t>
  </si>
  <si>
    <t>Net Operating Margin</t>
  </si>
  <si>
    <t>Cash Flow Statement</t>
  </si>
  <si>
    <t>Beginning Cash Position</t>
  </si>
  <si>
    <t>Operating Cash Flow</t>
  </si>
  <si>
    <t>Owner Contributions</t>
  </si>
  <si>
    <t>Net Cash Movement</t>
  </si>
  <si>
    <t>Ending Cash Position</t>
  </si>
  <si>
    <t>Financial Position Snapshot</t>
  </si>
  <si>
    <t>Current View</t>
  </si>
  <si>
    <t>Cash Position</t>
  </si>
  <si>
    <t>Ending Inventory (not separately counted)</t>
  </si>
  <si>
    <t>Fixed Assets, Net</t>
  </si>
  <si>
    <t>Estimated Net Asset Position</t>
  </si>
  <si>
    <t>Memo: Owner Contributions, Cumulative</t>
  </si>
  <si>
    <t>Memo: Owner / Partner Distributions, Cumulative</t>
  </si>
  <si>
    <t>Memo: Operating Income, Cumulative</t>
  </si>
  <si>
    <t>Note</t>
  </si>
  <si>
    <t>The financial position snapshot is a management view using available cash, inventory, and fixed-asset information. It does not include a full AR/AP schedule.</t>
  </si>
  <si>
    <t>Inventory Cross-Reference</t>
  </si>
  <si>
    <t>Ending inventory is shown as $0 / not separately counted because physical ending quantities were not separately counted. See Inventory_Rollforward for weighted-average estimated ballet shoe COGS and merchandise margin analysis.</t>
  </si>
  <si>
    <t>Fixed Asset Cross-Reference</t>
  </si>
  <si>
    <t>Net fixed assets are summarized from the Fixed_Asset_Depreciation support schedule.</t>
  </si>
  <si>
    <t>Claire Studio — Unit Economics &amp; Cost-Per-Class Model</t>
  </si>
  <si>
    <t>Reference period: April 2021 | Amounts in $ | Blue font = editable assumptions</t>
  </si>
  <si>
    <t>1. April 2021 Actuals and Core Inputs</t>
  </si>
  <si>
    <t>April 2021 revenue</t>
  </si>
  <si>
    <t>Class Revenue</t>
  </si>
  <si>
    <t>Choreography + Fitness + Karate</t>
  </si>
  <si>
    <t>Core class revenue</t>
  </si>
  <si>
    <t>Hall / Event / Other Revenue</t>
  </si>
  <si>
    <t>Hall rental + event/photo + other</t>
  </si>
  <si>
    <t>Second-hall support revenue</t>
  </si>
  <si>
    <t>Ballet shoes + gymnastic suits + other</t>
  </si>
  <si>
    <t>Merchandise add-on revenue</t>
  </si>
  <si>
    <t>Excludes owner distributions</t>
  </si>
  <si>
    <t>Operating Expenses Excl. Merchandise COGS</t>
  </si>
  <si>
    <t>Operating expenses - merchandise COGS</t>
  </si>
  <si>
    <t>Used for class cost view</t>
  </si>
  <si>
    <t>Total Sessions per Month</t>
  </si>
  <si>
    <t>Editable schedule assumption</t>
  </si>
  <si>
    <t>Choreo + fitness + karate</t>
  </si>
  <si>
    <t>Cost per Session</t>
  </si>
  <si>
    <t>Operating expenses excl. COGS ÷ sessions</t>
  </si>
  <si>
    <t>Blended studio view</t>
  </si>
  <si>
    <t>Cost per Student-Session</t>
  </si>
  <si>
    <t>Operating expenses excl. COGS ÷ student-sessions</t>
  </si>
  <si>
    <t>Blended attendance view</t>
  </si>
  <si>
    <t>2. Program Unit Economics</t>
  </si>
  <si>
    <t>Primary Hall Use</t>
  </si>
  <si>
    <t>Estimated Students</t>
  </si>
  <si>
    <t>Sessions / Month</t>
  </si>
  <si>
    <t>Revenue / Student</t>
  </si>
  <si>
    <t>Revenue / Session</t>
  </si>
  <si>
    <t>Student-Sessions</t>
  </si>
  <si>
    <t>New hall</t>
  </si>
  <si>
    <t>Main children’s program</t>
  </si>
  <si>
    <t>Old hall</t>
  </si>
  <si>
    <t>Parent/adult fitness classes</t>
  </si>
  <si>
    <t>Revenue-share instructor model</t>
  </si>
  <si>
    <t>Studio</t>
  </si>
  <si>
    <t>3. Break-Even by Program</t>
  </si>
  <si>
    <t>Monthly Revenue</t>
  </si>
  <si>
    <t>Direct Variable Cost</t>
  </si>
  <si>
    <t>Shared Overhead Allocated</t>
  </si>
  <si>
    <t>Contribution / Student</t>
  </si>
  <si>
    <t>Break-Even Students</t>
  </si>
  <si>
    <t>Actual Students</t>
  </si>
  <si>
    <t>Above / (Below) BE</t>
  </si>
  <si>
    <t>Healthy margin after shared overhead</t>
  </si>
  <si>
    <t>Profitable with modest enrollment</t>
  </si>
  <si>
    <t>Close to break-even after instructor share</t>
  </si>
  <si>
    <t>Total / Studio</t>
  </si>
  <si>
    <t>Studio view includes shared cost structure</t>
  </si>
  <si>
    <t>4. Management Takeaway</t>
  </si>
  <si>
    <t>Cost-per-class model</t>
  </si>
  <si>
    <t>Break-even students now use monthly contribution, not per-class contribution. This keeps the analysis realistic.</t>
  </si>
  <si>
    <t>April 2021 result</t>
  </si>
  <si>
    <t>April class revenue covered the studio cost structure, with added support from hall rental, merchandise, and other small revenue.</t>
  </si>
  <si>
    <t>Scheduling insight</t>
  </si>
  <si>
    <t>The two-hall setup improved scheduling: old hall for fitness/karate and new hall for choreography/subrent activity.</t>
  </si>
  <si>
    <t>Claire Studio — Accounting Treatment Summary</t>
  </si>
  <si>
    <t>Simple bridge from cash ledger categories to financial statement treatment. Amounts shown in $.</t>
  </si>
  <si>
    <t>Business Activity</t>
  </si>
  <si>
    <t>Account / Category</t>
  </si>
  <si>
    <t>Statement</t>
  </si>
  <si>
    <t>Treatment</t>
  </si>
  <si>
    <t>Model Logic</t>
  </si>
  <si>
    <t>Bridge Job Skill</t>
  </si>
  <si>
    <t>Class subscriptions</t>
  </si>
  <si>
    <t>Revenue — Classes</t>
  </si>
  <si>
    <t>Recognize as revenue when classes are delivered</t>
  </si>
  <si>
    <t>Included in Total Revenue</t>
  </si>
  <si>
    <t>Revenue reporting</t>
  </si>
  <si>
    <t>Core recurring revenue stream</t>
  </si>
  <si>
    <t>Hall rental</t>
  </si>
  <si>
    <t>Revenue — Hall Rental</t>
  </si>
  <si>
    <t>Recognize as other operating revenue</t>
  </si>
  <si>
    <t>Included in Other Revenue</t>
  </si>
  <si>
    <t>Revenue classification</t>
  </si>
  <si>
    <t>Connected to second hall decision</t>
  </si>
  <si>
    <t>Ballet shoes / suits sold</t>
  </si>
  <si>
    <t>Recognize sale revenue and related COGS</t>
  </si>
  <si>
    <t>Revenue less item-level COGS</t>
  </si>
  <si>
    <t>Inventory / margin analysis</t>
  </si>
  <si>
    <t>Small resale activity</t>
  </si>
  <si>
    <t>Merchandise purchase / cost</t>
  </si>
  <si>
    <t>Inventory / COGS</t>
  </si>
  <si>
    <t>Income Statement / Support Schedule</t>
  </si>
  <si>
    <t>Track cost by item and release to COGS when sold</t>
  </si>
  <si>
    <t>COGS review</t>
  </si>
  <si>
    <t>No separate ending count beyond model assumptions</t>
  </si>
  <si>
    <t>Rent Expense</t>
  </si>
  <si>
    <t>Record as operating expense in the related business period</t>
  </si>
  <si>
    <t>Fixed cost in Monthly P&amp;L</t>
  </si>
  <si>
    <t>Fixed-cost analysis</t>
  </si>
  <si>
    <t>Main capacity cost</t>
  </si>
  <si>
    <t>Utilities Expense</t>
  </si>
  <si>
    <t>Record separately from base rent</t>
  </si>
  <si>
    <t>Operating expense</t>
  </si>
  <si>
    <t>Expense classification</t>
  </si>
  <si>
    <t>Important rent/utilities cleanup area</t>
  </si>
  <si>
    <t>Payroll / Instructor Cost</t>
  </si>
  <si>
    <t>Record salary and instructor share as service cost</t>
  </si>
  <si>
    <t>Cost of services</t>
  </si>
  <si>
    <t>Payroll review</t>
  </si>
  <si>
    <t>Owner distributions excluded</t>
  </si>
  <si>
    <t>Owner contribution</t>
  </si>
  <si>
    <t>Owner Equity</t>
  </si>
  <si>
    <t>Cash Flow / Equity</t>
  </si>
  <si>
    <t>Treat as capital contribution, not revenue</t>
  </si>
  <si>
    <t>Owner contribution line</t>
  </si>
  <si>
    <t>Equity classification</t>
  </si>
  <si>
    <t>Supports clean operating results</t>
  </si>
  <si>
    <t>Owner / partner distribution</t>
  </si>
  <si>
    <t>Owner Draw / Distribution</t>
  </si>
  <si>
    <t>Treat as equity distribution, not expense</t>
  </si>
  <si>
    <t>Distribution line</t>
  </si>
  <si>
    <t>Close support</t>
  </si>
  <si>
    <t>Removed from operating expenses</t>
  </si>
  <si>
    <t>Equipment purchases</t>
  </si>
  <si>
    <t>Fixed Assets / Supplies</t>
  </si>
  <si>
    <t>Financial Position / Support Schedule</t>
  </si>
  <si>
    <t>Capitalize major items; expense small supplies</t>
  </si>
  <si>
    <t>Fixed asset tracking</t>
  </si>
  <si>
    <t>Simple management view</t>
  </si>
  <si>
    <t>Depreciation Expense</t>
  </si>
  <si>
    <t>Allocate asset cost over useful life</t>
  </si>
  <si>
    <t>Supplemental accounting schedule</t>
  </si>
  <si>
    <t>Month-end adjustment logic</t>
  </si>
  <si>
    <t>Non-cash expense</t>
  </si>
  <si>
    <t>Taxes</t>
  </si>
  <si>
    <t>Business Tax Expense</t>
  </si>
  <si>
    <t>Record as operating expense based on activity</t>
  </si>
  <si>
    <t>Tax/accrual awareness</t>
  </si>
  <si>
    <t>Simplified small-business tax</t>
  </si>
  <si>
    <t>Claire Studio — Representative Journal Entries</t>
  </si>
  <si>
    <t>Representative entries only | Not a full transaction ledger | Amounts in $</t>
  </si>
  <si>
    <t>JE #</t>
  </si>
  <si>
    <t>Date</t>
  </si>
  <si>
    <t>Activity</t>
  </si>
  <si>
    <t>Debit Account</t>
  </si>
  <si>
    <t>Debit</t>
  </si>
  <si>
    <t>Credit Account</t>
  </si>
  <si>
    <t>Credit</t>
  </si>
  <si>
    <t>Balance Check</t>
  </si>
  <si>
    <t>Accounting Point</t>
  </si>
  <si>
    <t>JE-01</t>
  </si>
  <si>
    <t>Class revenue recognized when services are provided.</t>
  </si>
  <si>
    <t>JE-02</t>
  </si>
  <si>
    <t>2021-04-30</t>
  </si>
  <si>
    <t>Record hall rental / event / other revenue</t>
  </si>
  <si>
    <t>Cash</t>
  </si>
  <si>
    <t>Other Operating Revenue</t>
  </si>
  <si>
    <t>Subrent and small event income support second-hall utilization.</t>
  </si>
  <si>
    <t>JE-03</t>
  </si>
  <si>
    <t>Record merchandise revenue</t>
  </si>
  <si>
    <t>Ballet shoes and gymnastic suits are tracked separately from class revenue.</t>
  </si>
  <si>
    <t>JE-04</t>
  </si>
  <si>
    <t>Record rent expense</t>
  </si>
  <si>
    <t>Rent is an operating expense; owner draws are not included.</t>
  </si>
  <si>
    <t>JE-05</t>
  </si>
  <si>
    <t>Record utilities expense</t>
  </si>
  <si>
    <t>Utilities are classified separately from base rent.</t>
  </si>
  <si>
    <t>JE-06</t>
  </si>
  <si>
    <t>Record payroll and instructor payments</t>
  </si>
  <si>
    <t>Payroll / Instructor Expense</t>
  </si>
  <si>
    <t>Payroll and instructor payments are operating expenses.</t>
  </si>
  <si>
    <t>JE-07</t>
  </si>
  <si>
    <t>Record advertising expense</t>
  </si>
  <si>
    <t>Advertising Expense</t>
  </si>
  <si>
    <t>Marketing spend supports enrollment and retention.</t>
  </si>
  <si>
    <t>JE-08</t>
  </si>
  <si>
    <t>Record merchandise cost of goods sold</t>
  </si>
  <si>
    <t>COGS — Merchandise</t>
  </si>
  <si>
    <t>Inventory</t>
  </si>
  <si>
    <t>COGS is matched to merchandise sales.</t>
  </si>
  <si>
    <t>JE-09</t>
  </si>
  <si>
    <t>Record other operating expenses</t>
  </si>
  <si>
    <t>Other Operating Expense</t>
  </si>
  <si>
    <t>Equipment/supplies and other operating costs are grouped for this example.</t>
  </si>
  <si>
    <t>JE-10</t>
  </si>
  <si>
    <t>Record monthly depreciation</t>
  </si>
  <si>
    <t>Accumulated Depreciation</t>
  </si>
  <si>
    <t>Non-cash month-end adjustment.</t>
  </si>
  <si>
    <t>JE-11</t>
  </si>
  <si>
    <t>Record owner / partner distribution</t>
  </si>
  <si>
    <t>Owner / Partner Distribution</t>
  </si>
  <si>
    <t>Distribution is equity activity, not an operating expense.</t>
  </si>
  <si>
    <t>JE-12</t>
  </si>
  <si>
    <t>2020-09-30</t>
  </si>
  <si>
    <t>Record owner contribution</t>
  </si>
  <si>
    <t>Owner Capital</t>
  </si>
  <si>
    <t>Owner contribution is equity funding, not revenue.</t>
  </si>
  <si>
    <t>Control Check</t>
  </si>
  <si>
    <t>Total Debits</t>
  </si>
  <si>
    <t>Total Credits</t>
  </si>
  <si>
    <t>Note: These entries demonstrate accounting treatment and month-end logic. The workbook is not intended to recreate every transaction-level journal entry.</t>
  </si>
  <si>
    <t>Claire Studio — 2021 Management Operating Budget</t>
  </si>
  <si>
    <t>Amounts shown in $ | Method: 2020 exit run-rate adjusted for planned second hall expansion</t>
  </si>
  <si>
    <t>Budget Type</t>
  </si>
  <si>
    <t>Historical Baseline</t>
  </si>
  <si>
    <t>Planning Adjustment</t>
  </si>
  <si>
    <t>Budget Purpose</t>
  </si>
  <si>
    <t>Key Business Question</t>
  </si>
  <si>
    <t>Management operating budget</t>
  </si>
  <si>
    <t>Sep–Dec 2020 exit run-rate</t>
  </si>
  <si>
    <t>Second hall expansion in 2021</t>
  </si>
  <si>
    <t>Budget vs actual and variance explanation</t>
  </si>
  <si>
    <t>Did higher fixed cost support profitable growth?</t>
  </si>
  <si>
    <t>2020 Exit Avg / Month</t>
  </si>
  <si>
    <t>2020 Exit Annualized</t>
  </si>
  <si>
    <t>2021 Budget</t>
  </si>
  <si>
    <t>Assumption / Rationale</t>
  </si>
  <si>
    <t>Type</t>
  </si>
  <si>
    <t>Sum of revenue lines</t>
  </si>
  <si>
    <t>Core program; modest growth</t>
  </si>
  <si>
    <t>Recovery below late-2020 peak</t>
  </si>
  <si>
    <t>Growth program; more space</t>
  </si>
  <si>
    <t>New rental opportunity</t>
  </si>
  <si>
    <t>Shoes and suits</t>
  </si>
  <si>
    <t>Events and miscellaneous income</t>
  </si>
  <si>
    <t>Sum of expense lines</t>
  </si>
  <si>
    <t>Salary and activity-linked cost</t>
  </si>
  <si>
    <t>Higher usage after expansion</t>
  </si>
  <si>
    <t>Enrollment marketing</t>
  </si>
  <si>
    <t>Based on business activity</t>
  </si>
  <si>
    <t>Cost of shoes and suits sold</t>
  </si>
  <si>
    <t>Class and event support</t>
  </si>
  <si>
    <t>Small replacement purchases</t>
  </si>
  <si>
    <t>Miscellaneous operating costs</t>
  </si>
  <si>
    <t>Revenue minus expenses</t>
  </si>
  <si>
    <t>Monthly Phasing Assumptions</t>
  </si>
  <si>
    <t>Check</t>
  </si>
  <si>
    <t>Revenue Weight</t>
  </si>
  <si>
    <t>Hall Rental Weight</t>
  </si>
  <si>
    <t>Rent Plan</t>
  </si>
  <si>
    <t>Utilities Plan</t>
  </si>
  <si>
    <t>Advertising Plan</t>
  </si>
  <si>
    <t>Monthly Budget by Category</t>
  </si>
  <si>
    <t>Claire Studio — Inventory &amp; Merchandise Margin</t>
  </si>
  <si>
    <t>Simple support schedule for merchandise revenue and recorded/estimated costs. Amounts shown in $.</t>
  </si>
  <si>
    <t>Inventory / Merchandise View</t>
  </si>
  <si>
    <t>Ballet Shoes Revenue</t>
  </si>
  <si>
    <t>Ballet Shoes Estimated COGS (weighted-average)</t>
  </si>
  <si>
    <t>Ballet Shoes Gross Profit (before inventory adjustment)</t>
  </si>
  <si>
    <t>Ballet Shoes Gross Margin</t>
  </si>
  <si>
    <t>Gymnastic Suits Revenue</t>
  </si>
  <si>
    <t>Gymnastic Suits COGS</t>
  </si>
  <si>
    <t>Gymnastic Suits Gross Profit</t>
  </si>
  <si>
    <t>Gymnastic Suits Gross Margin</t>
  </si>
  <si>
    <t>Total Merchandise COGS</t>
  </si>
  <si>
    <t>Total Merchandise Gross Profit</t>
  </si>
  <si>
    <t>Total Merchandise Gross Margin</t>
  </si>
  <si>
    <t>Inventory Note</t>
  </si>
  <si>
    <t>COGS and margin are supported by item-level revenue and cost records. Ending inventory is not separately counted in this model.</t>
  </si>
  <si>
    <t>Clarifying Notes</t>
  </si>
  <si>
    <t>Ballet Shoes COGS Method</t>
  </si>
  <si>
    <t>Weighted-average estimated COGS is used because exact sale-by-sale inventory matching was not fully documented. Total recorded purchase cost of $1,078.75 is allocated by sales-period revenue.</t>
  </si>
  <si>
    <t>Inventory Treatment</t>
  </si>
  <si>
    <t>Ending inventory was not separately counted, so ending inventory remains $0 / not separately counted in the model.</t>
  </si>
  <si>
    <t>Use in Model</t>
  </si>
  <si>
    <t>This schedule supports merchandise margin analysis and Management_Financials; the clean cash ledger remains the detailed audit trail.</t>
  </si>
  <si>
    <t>Claire Studio — Fixed Asset Depreciation</t>
  </si>
  <si>
    <t>Simple straight-line depreciation support schedule for management reporting. Amounts shown in $.</t>
  </si>
  <si>
    <t>Asset Group</t>
  </si>
  <si>
    <t>In Service</t>
  </si>
  <si>
    <t>Cost</t>
  </si>
  <si>
    <t>Useful Life (Months)</t>
  </si>
  <si>
    <t>Monthly Depreciation</t>
  </si>
  <si>
    <t>Net Book Value</t>
  </si>
  <si>
    <t>Year-End NBV</t>
  </si>
  <si>
    <t>Studio Equipment</t>
  </si>
  <si>
    <t>Total Fixed Assets</t>
  </si>
  <si>
    <t>Year-End Net Book Value</t>
  </si>
  <si>
    <t>Ending NBV</t>
  </si>
  <si>
    <t>Depreciation Note</t>
  </si>
  <si>
    <t>Useful lives are simplified management assumptions. Depreciation continues monthly during closure periods.</t>
  </si>
  <si>
    <t>Schedule Scope Note</t>
  </si>
  <si>
    <t>This schedule summarizes supported asset groups and uses point-in-time NBV calculations based on elapsed depreciation months. It is a management support schedule, not a full fixed-asset subledger.</t>
  </si>
  <si>
    <t>Cross-Reference</t>
  </si>
  <si>
    <t>Net fixed assets from this tab feed the Financial Position Snapshot in Management_Financials.</t>
  </si>
  <si>
    <t>Claire Studio — Model Data (Structured Source)  |  Feeds Monthly_PL and all downstream tabs  |  Source: Cleaned cash-ledger transaction records; weighted-average ballet shoe COGS applied</t>
  </si>
  <si>
    <t>Source: Original cash-ledger transaction records, Nov 2019–Jul 2022 | Amounts shown in $ | Ballet shoe costs use weighted-average estimated COGS for consistency with Inventory_Rollforward.</t>
  </si>
  <si>
    <t>Year</t>
  </si>
  <si>
    <t>Revenue - Choreography</t>
  </si>
  <si>
    <t>Revenue - Karate</t>
  </si>
  <si>
    <t>Revenue - Fitness</t>
  </si>
  <si>
    <t>Revenue - Gymnastics</t>
  </si>
  <si>
    <t>Revenue - Hall Rental Income</t>
  </si>
  <si>
    <t>Revenue - Utilities Reimbursement</t>
  </si>
  <si>
    <t>Revenue - Merchandise and Supplies Sales</t>
  </si>
  <si>
    <t>Revenue - Ballet Shoes</t>
  </si>
  <si>
    <t>Revenue - Gymnastic Suits</t>
  </si>
  <si>
    <t>Revenue - Merchandise - Other</t>
  </si>
  <si>
    <t>Revenue - Event / Photo Revenue</t>
  </si>
  <si>
    <t>Revenue - Other</t>
  </si>
  <si>
    <t>Expense - Payroll</t>
  </si>
  <si>
    <t>Expense - Rent</t>
  </si>
  <si>
    <t>Expense - Utilities</t>
  </si>
  <si>
    <t>Expense - Advertising</t>
  </si>
  <si>
    <t>Expense - Taxes</t>
  </si>
  <si>
    <t>Expense - Events and Competitions</t>
  </si>
  <si>
    <t>Expense - Class Supplies</t>
  </si>
  <si>
    <t>Expense - Gymnastic Suit Cost</t>
  </si>
  <si>
    <t>Expense - Ballet Shoe Cost</t>
  </si>
  <si>
    <t>Equipment / Supplies Purchase</t>
  </si>
  <si>
    <t>Expense - Other Operating Expense</t>
  </si>
  <si>
    <t>Net Operating Cash Flow</t>
  </si>
  <si>
    <t>Owner Contribution</t>
  </si>
  <si>
    <t>Distribution Notes</t>
  </si>
  <si>
    <t>Net Cash Movement Including Owners</t>
  </si>
  <si>
    <t>Distribution total set per owner review: $625.00</t>
  </si>
  <si>
    <t xml:space="preserve"> Distribution total set per owner review: $5,312.50. </t>
  </si>
  <si>
    <t>Distribution total set per owner review: $1,625.00</t>
  </si>
  <si>
    <t>Distribution total set per owner review: $0.00</t>
  </si>
  <si>
    <t>Distribution total set per owner review: $3,181.25</t>
  </si>
  <si>
    <t xml:space="preserve"> Distribution total set per owner review: $1,750.00</t>
  </si>
  <si>
    <t>Distribution total set per owner review: $1,000.00</t>
  </si>
  <si>
    <t>Distribution total set per owner review: $2,312.50</t>
  </si>
  <si>
    <t>Co-Founder excess over $750 salary moved to combined Owner / Partner Distribution: $1,375.00. | Distribution total set per owner review: $6,525.00. Includes Owner/Co-Founder distributions and any reclassified payroll amounts where applicable.</t>
  </si>
  <si>
    <t>Distribution total set per owner review: $6,100.00</t>
  </si>
  <si>
    <t>Distribution total set per owner review: $1,250.00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</si>
</sst>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\$#,##0"/>
    <numFmt numFmtId="165" formatCode="#,##0.00;[Red]\(#,##0.00\);\-"/>
    <numFmt numFmtId="166" formatCode="0.0%"/>
    <numFmt numFmtId="167" formatCode="\$#,##0.00"/>
    <numFmt numFmtId="168" formatCode="\$#,##0;[Red]&quot;($&quot;#,##0\);\-"/>
    <numFmt numFmtId="169" formatCode="\$#,##0.00;[Red]&quot;($&quot;#,##0.00\);\-"/>
    <numFmt numFmtId="170" formatCode="0.0%;[Red]\(0.0%\);\-"/>
    <numFmt numFmtId="171" formatCode="#,##0;\(#,##0\);\—"/>
    <numFmt numFmtId="172" formatCode="#,##0;[Red]\(#,##0\);\-"/>
    <numFmt numFmtId="173" formatCode="#,##0.0;[Red]\(#,##0.0\);\-"/>
    <numFmt numFmtId="174" formatCode="0;\(0\);\—"/>
    <numFmt numFmtId="175" formatCode="#,##0.00;\(#,##0.00\);\—"/>
  </numFmts>
  <fonts count="68">
    <font>
      <sz val="10"/>
      <name val="Arial"/>
      <charset val="1"/>
    </font>
    <font>
      <sz val="11"/>
      <color theme="1"/>
      <name val="Calibri"/>
      <charset val="1"/>
    </font>
    <font>
      <b/>
      <sz val="18"/>
      <color rgb="FF2B2E4A"/>
      <name val="Arial"/>
      <charset val="1"/>
    </font>
    <font>
      <i/>
      <sz val="10"/>
      <color theme="1" tint="0.24988555558946501"/>
      <name val="Arial"/>
      <charset val="1"/>
    </font>
    <font>
      <b/>
      <sz val="11"/>
      <color theme="0"/>
      <name val="Arial"/>
      <charset val="1"/>
    </font>
    <font>
      <b/>
      <sz val="10"/>
      <color rgb="FF2B2E4A"/>
      <name val="Arial"/>
      <charset val="1"/>
    </font>
    <font>
      <b/>
      <sz val="10"/>
      <color rgb="FF595959"/>
      <name val="Arial"/>
      <charset val="1"/>
    </font>
    <font>
      <i/>
      <sz val="9"/>
      <color theme="1" tint="0.3498947111423078"/>
      <name val="Arial"/>
      <charset val="1"/>
    </font>
    <font>
      <b/>
      <sz val="10"/>
      <color rgb="FFFFFFFF"/>
      <name val="Arial"/>
      <charset val="1"/>
    </font>
    <font>
      <b/>
      <sz val="10"/>
      <color rgb="FF2E75B6"/>
      <name val="Arial"/>
      <charset val="1"/>
    </font>
    <font>
      <b/>
      <i/>
      <sz val="9"/>
      <color rgb="FF888888"/>
      <name val="Arial"/>
      <charset val="1"/>
    </font>
    <font>
      <i/>
      <sz val="9"/>
      <color rgb="FF595959"/>
      <name val="Arial"/>
      <charset val="1"/>
    </font>
    <font>
      <b/>
      <sz val="14"/>
      <color rgb="FFFFFFFF"/>
      <name val="Calibri"/>
      <charset val="1"/>
    </font>
    <font>
      <b/>
      <sz val="11"/>
      <color rgb="FFFFFFFF"/>
      <name val="Calibri"/>
      <charset val="1"/>
    </font>
    <font>
      <i/>
      <sz val="9"/>
      <color rgb="FF595959"/>
      <name val="Calibri"/>
      <charset val="1"/>
    </font>
    <font>
      <sz val="11"/>
      <name val="Calibri"/>
      <charset val="1"/>
    </font>
    <font>
      <b/>
      <sz val="10"/>
      <color rgb="FF2B2E4A"/>
      <name val="Calibri"/>
      <charset val="1"/>
    </font>
    <font>
      <sz val="9"/>
      <color rgb="FF595959"/>
      <name val="Calibri"/>
      <charset val="1"/>
    </font>
    <font>
      <sz val="9"/>
      <color rgb="FF000000"/>
      <name val="Calibri"/>
      <charset val="1"/>
    </font>
    <font>
      <b/>
      <sz val="9"/>
      <color rgb="FF2B2E4A"/>
      <name val="Calibri"/>
      <charset val="1"/>
    </font>
    <font>
      <sz val="9"/>
      <name val="Calibri"/>
      <charset val="1"/>
    </font>
    <font>
      <b/>
      <sz val="11"/>
      <color rgb="FF2B2E4A"/>
      <name val="Calibri"/>
      <charset val="1"/>
    </font>
    <font>
      <b/>
      <sz val="9"/>
      <color rgb="FFFFFFFF"/>
      <name val="Calibri"/>
      <charset val="1"/>
    </font>
    <font>
      <b/>
      <sz val="9"/>
      <color rgb="FF000000"/>
      <name val="Calibri"/>
      <charset val="1"/>
    </font>
    <font>
      <sz val="11"/>
      <name val="Arial"/>
      <charset val="1"/>
    </font>
    <font>
      <b/>
      <sz val="9"/>
      <color rgb="FF595959"/>
      <name val="Calibri"/>
      <charset val="1"/>
    </font>
    <font>
      <i/>
      <sz val="8"/>
      <color rgb="FF595959"/>
      <name val="Calibri"/>
      <charset val="1"/>
    </font>
    <font>
      <i/>
      <sz val="11"/>
      <color rgb="FF1F2937"/>
      <name val="Calibri"/>
      <charset val="1"/>
    </font>
    <font>
      <sz val="11"/>
      <color rgb="FF000000"/>
      <name val="Calibri"/>
      <charset val="1"/>
    </font>
    <font>
      <b/>
      <sz val="13"/>
      <color rgb="FFFFFFFF"/>
      <name val="Calibri"/>
      <charset val="1"/>
    </font>
    <font>
      <i/>
      <sz val="9"/>
      <color rgb="FF1F2937"/>
      <name val="Calibri"/>
      <charset val="1"/>
    </font>
    <font>
      <sz val="7"/>
      <color rgb="FFFFFFFF"/>
      <name val="Calibri"/>
      <charset val="1"/>
    </font>
    <font>
      <b/>
      <sz val="8"/>
      <color rgb="FFFFFFFF"/>
      <name val="Calibri"/>
      <charset val="1"/>
    </font>
    <font>
      <sz val="9"/>
      <color rgb="FF2B2E4A"/>
      <name val="Calibri"/>
      <charset val="1"/>
    </font>
    <font>
      <i/>
      <sz val="8"/>
      <color rgb="FFAAAAAA"/>
      <name val="Calibri"/>
      <charset val="1"/>
    </font>
    <font>
      <sz val="9"/>
      <color rgb="FF808080"/>
      <name val="Calibri"/>
      <charset val="1"/>
    </font>
    <font>
      <sz val="9"/>
      <color rgb="FFCCCCCC"/>
      <name val="Calibri"/>
      <charset val="1"/>
    </font>
    <font>
      <i/>
      <sz val="11"/>
      <color rgb="FF2B2E4A"/>
      <name val="Calibri"/>
      <charset val="1"/>
    </font>
    <font>
      <b/>
      <sz val="11"/>
      <color theme="1"/>
      <name val="Calibri"/>
      <charset val="1"/>
    </font>
    <font>
      <b/>
      <sz val="11"/>
      <color rgb="FF000000"/>
      <name val="Calibri"/>
      <charset val="1"/>
    </font>
    <font>
      <b/>
      <sz val="10"/>
      <color rgb="FFFFFFFF"/>
      <name val="Aptos"/>
      <charset val="1"/>
    </font>
    <font>
      <i/>
      <sz val="10"/>
      <color rgb="FF666666"/>
      <name val="Aptos"/>
      <charset val="1"/>
    </font>
    <font>
      <sz val="10"/>
      <color theme="1"/>
      <name val="Aptos"/>
      <charset val="1"/>
    </font>
    <font>
      <b/>
      <sz val="10"/>
      <color theme="1"/>
      <name val="Aptos"/>
      <charset val="1"/>
    </font>
    <font>
      <sz val="10"/>
      <color rgb="FF0000FF"/>
      <name val="Aptos"/>
      <charset val="1"/>
    </font>
    <font>
      <b/>
      <sz val="11"/>
      <color rgb="FF2B2E4A"/>
      <name val="Cambria"/>
      <charset val="1"/>
    </font>
    <font>
      <b/>
      <sz val="11"/>
      <color rgb="FFFFFFFF"/>
      <name val="Cambria"/>
      <charset val="1"/>
    </font>
    <font>
      <sz val="11"/>
      <color rgb="FF000000"/>
      <name val="Cambria"/>
      <charset val="1"/>
    </font>
    <font>
      <b/>
      <sz val="10"/>
      <color rgb="FFFFFFFF"/>
      <name val="Calibri"/>
      <charset val="1"/>
    </font>
    <font>
      <sz val="10"/>
      <color theme="1"/>
      <name val="Calibri"/>
      <charset val="1"/>
    </font>
    <font>
      <i/>
      <sz val="10"/>
      <color rgb="FF374151"/>
      <name val="Calibri"/>
      <charset val="1"/>
    </font>
    <font>
      <b/>
      <sz val="10"/>
      <color theme="1"/>
      <name val="Calibri"/>
      <charset val="1"/>
    </font>
    <font>
      <b/>
      <i/>
      <sz val="10"/>
      <color rgb="FF7F6000"/>
      <name val="Calibri"/>
      <charset val="1"/>
    </font>
    <font>
      <i/>
      <sz val="10"/>
      <color rgb="FF7F6000"/>
      <name val="Calibri"/>
      <charset val="1"/>
    </font>
    <font>
      <b/>
      <sz val="10"/>
      <color rgb="FF595959"/>
      <name val="Aptos"/>
      <charset val="1"/>
    </font>
    <font>
      <b/>
      <sz val="10"/>
      <color rgb="FF2B2E4A"/>
      <name val="Aptos"/>
      <charset val="1"/>
    </font>
    <font>
      <sz val="10"/>
      <color rgb="FF595959"/>
      <name val="Aptos"/>
      <charset val="1"/>
    </font>
    <font>
      <sz val="10"/>
      <color rgb="FF000000"/>
      <name val="Aptos"/>
      <charset val="1"/>
    </font>
    <font>
      <i/>
      <sz val="10"/>
      <color rgb="FF595959"/>
      <name val="Aptos"/>
      <charset val="1"/>
    </font>
    <font>
      <b/>
      <sz val="10"/>
      <color rgb="FF000000"/>
      <name val="Aptos"/>
      <charset val="1"/>
    </font>
    <font>
      <b/>
      <i/>
      <sz val="10"/>
      <color rgb="FF595959"/>
      <name val="Aptos"/>
      <charset val="1"/>
    </font>
    <font>
      <b/>
      <sz val="10"/>
      <color rgb="FF0000FF"/>
      <name val="Aptos"/>
      <charset val="1"/>
    </font>
    <font>
      <sz val="10"/>
      <color rgb="FF2B2E4A"/>
      <name val="Aptos"/>
      <charset val="1"/>
    </font>
    <font>
      <i/>
      <sz val="10"/>
      <color rgb="FF000000"/>
      <name val="Aptos"/>
      <charset val="1"/>
    </font>
    <font>
      <sz val="11"/>
      <color rgb="FF0000FF"/>
      <name val="Calibri"/>
      <charset val="1"/>
    </font>
    <font>
      <b/>
      <sz val="10"/>
      <color rgb="FF7F6000"/>
      <name val="Calibri"/>
      <charset val="1"/>
    </font>
    <font>
      <sz val="10"/>
      <color rgb="FF7F6000"/>
      <name val="Calibri"/>
      <charset val="1"/>
    </font>
    <font>
      <b/>
      <sz val="10"/>
      <color rgb="FF374151"/>
      <name val="Calibri"/>
      <charset val="1"/>
    </font>
  </fonts>
  <fills count="19">
    <fill>
      <patternFill patternType="none"/>
    </fill>
    <fill>
      <patternFill patternType="gray125"/>
    </fill>
    <fill>
      <patternFill patternType="solid">
        <fgColor theme="3"/>
        <bgColor rgb="FF374151"/>
      </patternFill>
    </fill>
    <fill>
      <patternFill patternType="solid">
        <fgColor theme="0" tint="-4.9989318521683403E-2"/>
        <bgColor rgb="FFF2F3F7"/>
      </patternFill>
    </fill>
    <fill>
      <patternFill patternType="solid">
        <fgColor rgb="FFFFFFFF"/>
        <bgColor rgb="FFFFFBEB"/>
      </patternFill>
    </fill>
    <fill>
      <patternFill patternType="solid">
        <fgColor rgb="FF2E75B6"/>
        <bgColor rgb="FF4F81BD"/>
      </patternFill>
    </fill>
    <fill>
      <patternFill patternType="solid">
        <fgColor rgb="FFF0F0F0"/>
        <bgColor rgb="FFEEEEEE"/>
      </patternFill>
    </fill>
    <fill>
      <patternFill patternType="solid">
        <fgColor rgb="FFF5F5F5"/>
        <bgColor rgb="FFF2F3F7"/>
      </patternFill>
    </fill>
    <fill>
      <patternFill patternType="solid">
        <fgColor rgb="FFE8F0FE"/>
        <bgColor rgb="FFEAF2F8"/>
      </patternFill>
    </fill>
    <fill>
      <patternFill patternType="solid">
        <fgColor rgb="FF2B2E4A"/>
        <bgColor rgb="FF1F2937"/>
      </patternFill>
    </fill>
    <fill>
      <patternFill patternType="solid">
        <fgColor rgb="FFF2F3F7"/>
        <bgColor rgb="FFF2F2F2"/>
      </patternFill>
    </fill>
    <fill>
      <patternFill patternType="solid">
        <fgColor theme="4" tint="0.79989013336588644"/>
        <bgColor rgb="FFD9E2F3"/>
      </patternFill>
    </fill>
    <fill>
      <patternFill patternType="solid">
        <fgColor rgb="FFEAF2F8"/>
        <bgColor rgb="FFE8F0FE"/>
      </patternFill>
    </fill>
    <fill>
      <patternFill patternType="solid">
        <fgColor rgb="FFF3F8FC"/>
        <bgColor rgb="FFF5F5F5"/>
      </patternFill>
    </fill>
    <fill>
      <patternFill patternType="solid">
        <fgColor rgb="FFFFFBEB"/>
        <bgColor rgb="FFFFFFFF"/>
      </patternFill>
    </fill>
    <fill>
      <patternFill patternType="solid">
        <fgColor rgb="FFE2F0D9"/>
        <bgColor rgb="FFEEEEEE"/>
      </patternFill>
    </fill>
    <fill>
      <patternFill patternType="solid">
        <fgColor rgb="FFBDD7EE"/>
        <bgColor rgb="FFCCCCCC"/>
      </patternFill>
    </fill>
    <fill>
      <patternFill patternType="solid">
        <fgColor rgb="FFFFF2CC"/>
        <bgColor rgb="FFFFFBEB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thin">
        <color rgb="FFDDDDDD"/>
      </left>
      <right/>
      <top style="thin">
        <color rgb="FFDDDDDD"/>
      </top>
      <bottom style="thin">
        <color rgb="FF888888"/>
      </bottom>
      <diagonal/>
    </border>
    <border>
      <left/>
      <right/>
      <top style="thin">
        <color rgb="FFDDDDDD"/>
      </top>
      <bottom/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888888"/>
      </left>
      <right/>
      <top style="thin">
        <color rgb="FF888888"/>
      </top>
      <bottom style="thin">
        <color rgb="FF888888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777777"/>
      </left>
      <right style="thin">
        <color rgb="FF777777"/>
      </right>
      <top style="thin">
        <color rgb="FF777777"/>
      </top>
      <bottom style="thin">
        <color rgb="FF777777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EEEEEE"/>
      </left>
      <right style="thin">
        <color rgb="FFEEEEEE"/>
      </right>
      <top style="thin">
        <color rgb="FFEEEEEE"/>
      </top>
      <bottom style="thin">
        <color rgb="FFEEEEEE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EEEEEE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EEEEEE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1" fillId="0" borderId="0"/>
  </cellStyleXfs>
  <cellXfs count="336">
    <xf numFmtId="0" fontId="0" fillId="0" borderId="0" xfId="0"/>
    <xf numFmtId="0" fontId="0" fillId="0" borderId="0" xfId="0" applyAlignment="1"/>
    <xf numFmtId="0" fontId="5" fillId="3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0" fillId="7" borderId="1" xfId="0" applyFont="1" applyFill="1" applyBorder="1" applyAlignment="1">
      <alignment horizontal="left" vertical="center" wrapText="1"/>
    </xf>
    <xf numFmtId="0" fontId="11" fillId="7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0" fillId="8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left" vertical="center" wrapText="1"/>
    </xf>
    <xf numFmtId="0" fontId="1" fillId="0" borderId="0" xfId="0" applyFont="1" applyAlignment="1"/>
    <xf numFmtId="0" fontId="13" fillId="4" borderId="0" xfId="0" applyFont="1" applyFill="1" applyAlignment="1"/>
    <xf numFmtId="0" fontId="17" fillId="11" borderId="1" xfId="0" applyFont="1" applyFill="1" applyBorder="1" applyAlignment="1">
      <alignment horizontal="left" vertical="center"/>
    </xf>
    <xf numFmtId="0" fontId="18" fillId="4" borderId="1" xfId="0" applyFont="1" applyFill="1" applyBorder="1" applyAlignment="1">
      <alignment horizontal="left" vertical="center"/>
    </xf>
    <xf numFmtId="0" fontId="19" fillId="11" borderId="1" xfId="0" applyFont="1" applyFill="1" applyBorder="1" applyAlignment="1">
      <alignment horizontal="left" vertical="center"/>
    </xf>
    <xf numFmtId="0" fontId="14" fillId="11" borderId="1" xfId="0" applyFont="1" applyFill="1" applyBorder="1" applyAlignment="1">
      <alignment horizontal="left" vertical="center"/>
    </xf>
    <xf numFmtId="0" fontId="20" fillId="11" borderId="0" xfId="0" applyFont="1" applyFill="1" applyAlignment="1">
      <alignment wrapText="1"/>
    </xf>
    <xf numFmtId="0" fontId="17" fillId="4" borderId="1" xfId="0" applyFont="1" applyFill="1" applyBorder="1" applyAlignment="1">
      <alignment horizontal="left" vertical="center"/>
    </xf>
    <xf numFmtId="0" fontId="14" fillId="4" borderId="1" xfId="0" applyFont="1" applyFill="1" applyBorder="1" applyAlignment="1">
      <alignment horizontal="left" vertical="center"/>
    </xf>
    <xf numFmtId="0" fontId="0" fillId="4" borderId="0" xfId="0" applyFill="1" applyAlignment="1"/>
    <xf numFmtId="0" fontId="19" fillId="4" borderId="1" xfId="0" applyFont="1" applyFill="1" applyBorder="1" applyAlignment="1">
      <alignment horizontal="left" vertical="center"/>
    </xf>
    <xf numFmtId="0" fontId="20" fillId="0" borderId="0" xfId="0" applyFont="1" applyAlignment="1">
      <alignment wrapText="1"/>
    </xf>
    <xf numFmtId="0" fontId="18" fillId="11" borderId="1" xfId="0" applyFont="1" applyFill="1" applyBorder="1" applyAlignment="1">
      <alignment horizontal="left" vertical="center"/>
    </xf>
    <xf numFmtId="0" fontId="22" fillId="9" borderId="5" xfId="0" applyFont="1" applyFill="1" applyBorder="1" applyAlignment="1">
      <alignment horizontal="center" vertical="center" wrapText="1"/>
    </xf>
    <xf numFmtId="0" fontId="23" fillId="11" borderId="1" xfId="0" applyFont="1" applyFill="1" applyBorder="1" applyAlignment="1">
      <alignment horizontal="left" vertical="center"/>
    </xf>
    <xf numFmtId="0" fontId="18" fillId="11" borderId="1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left" vertical="center"/>
    </xf>
    <xf numFmtId="0" fontId="18" fillId="4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21" fillId="4" borderId="7" xfId="0" applyFont="1" applyFill="1" applyBorder="1" applyAlignment="1">
      <alignment vertical="center"/>
    </xf>
    <xf numFmtId="0" fontId="24" fillId="0" borderId="8" xfId="0" applyFont="1" applyBorder="1" applyAlignment="1"/>
    <xf numFmtId="0" fontId="22" fillId="9" borderId="9" xfId="0" applyFont="1" applyFill="1" applyBorder="1" applyAlignment="1">
      <alignment horizontal="center" vertical="center" wrapText="1"/>
    </xf>
    <xf numFmtId="0" fontId="22" fillId="4" borderId="0" xfId="0" applyFont="1" applyFill="1" applyAlignment="1">
      <alignment horizontal="left" vertical="center" wrapText="1"/>
    </xf>
    <xf numFmtId="0" fontId="22" fillId="4" borderId="0" xfId="0" applyFont="1" applyFill="1" applyAlignment="1">
      <alignment horizontal="center" vertical="center" wrapText="1"/>
    </xf>
    <xf numFmtId="164" fontId="18" fillId="11" borderId="1" xfId="0" applyNumberFormat="1" applyFont="1" applyFill="1" applyBorder="1" applyAlignment="1">
      <alignment horizontal="right" vertical="center"/>
    </xf>
    <xf numFmtId="0" fontId="18" fillId="11" borderId="1" xfId="0" applyFont="1" applyFill="1" applyBorder="1" applyAlignment="1">
      <alignment horizontal="center" vertical="center" wrapText="1"/>
    </xf>
    <xf numFmtId="0" fontId="18" fillId="11" borderId="10" xfId="0" applyFont="1" applyFill="1" applyBorder="1" applyAlignment="1">
      <alignment horizontal="right" vertical="center" wrapText="1"/>
    </xf>
    <xf numFmtId="0" fontId="18" fillId="4" borderId="0" xfId="0" applyFont="1" applyFill="1" applyAlignment="1">
      <alignment horizontal="right" vertical="center"/>
    </xf>
    <xf numFmtId="0" fontId="18" fillId="4" borderId="0" xfId="0" applyFont="1" applyFill="1" applyAlignment="1">
      <alignment horizontal="left" vertical="center" wrapText="1"/>
    </xf>
    <xf numFmtId="164" fontId="18" fillId="4" borderId="1" xfId="0" applyNumberFormat="1" applyFont="1" applyFill="1" applyBorder="1" applyAlignment="1">
      <alignment horizontal="right" vertical="center"/>
    </xf>
    <xf numFmtId="0" fontId="18" fillId="4" borderId="1" xfId="0" applyFont="1" applyFill="1" applyBorder="1" applyAlignment="1">
      <alignment horizontal="left" vertical="top" wrapText="1"/>
    </xf>
    <xf numFmtId="0" fontId="18" fillId="4" borderId="10" xfId="0" applyFont="1" applyFill="1" applyBorder="1" applyAlignment="1">
      <alignment horizontal="right" vertical="center"/>
    </xf>
    <xf numFmtId="0" fontId="18" fillId="11" borderId="10" xfId="0" applyFont="1" applyFill="1" applyBorder="1" applyAlignment="1">
      <alignment horizontal="right" vertical="center"/>
    </xf>
    <xf numFmtId="0" fontId="23" fillId="11" borderId="1" xfId="0" applyFont="1" applyFill="1" applyBorder="1" applyAlignment="1">
      <alignment horizontal="left" vertical="center" wrapText="1"/>
    </xf>
    <xf numFmtId="164" fontId="23" fillId="11" borderId="1" xfId="0" applyNumberFormat="1" applyFont="1" applyFill="1" applyBorder="1" applyAlignment="1">
      <alignment horizontal="right" vertical="center"/>
    </xf>
    <xf numFmtId="0" fontId="23" fillId="11" borderId="1" xfId="0" applyFont="1" applyFill="1" applyBorder="1" applyAlignment="1">
      <alignment horizontal="right" vertical="center"/>
    </xf>
    <xf numFmtId="0" fontId="23" fillId="11" borderId="10" xfId="0" applyFont="1" applyFill="1" applyBorder="1" applyAlignment="1">
      <alignment horizontal="right" vertical="center"/>
    </xf>
    <xf numFmtId="0" fontId="23" fillId="4" borderId="0" xfId="0" applyFont="1" applyFill="1" applyAlignment="1">
      <alignment horizontal="right" vertical="center"/>
    </xf>
    <xf numFmtId="0" fontId="23" fillId="4" borderId="0" xfId="0" applyFont="1" applyFill="1" applyAlignment="1">
      <alignment horizontal="left" vertical="center" wrapText="1"/>
    </xf>
    <xf numFmtId="0" fontId="25" fillId="11" borderId="1" xfId="0" applyFont="1" applyFill="1" applyBorder="1" applyAlignment="1">
      <alignment horizontal="left" vertical="center"/>
    </xf>
    <xf numFmtId="0" fontId="25" fillId="4" borderId="1" xfId="0" applyFont="1" applyFill="1" applyBorder="1" applyAlignment="1">
      <alignment horizontal="left" vertical="center"/>
    </xf>
    <xf numFmtId="0" fontId="13" fillId="9" borderId="0" xfId="0" applyFont="1" applyFill="1" applyAlignment="1">
      <alignment horizontal="center"/>
    </xf>
    <xf numFmtId="165" fontId="1" fillId="0" borderId="0" xfId="0" applyNumberFormat="1" applyFont="1" applyAlignment="1"/>
    <xf numFmtId="0" fontId="1" fillId="0" borderId="0" xfId="0" applyFont="1" applyAlignment="1">
      <alignment wrapText="1"/>
    </xf>
    <xf numFmtId="0" fontId="1" fillId="0" borderId="0" xfId="0" applyFont="1" applyAlignment="1">
      <alignment horizontal="left" wrapText="1"/>
    </xf>
    <xf numFmtId="166" fontId="1" fillId="0" borderId="0" xfId="0" applyNumberFormat="1" applyFont="1" applyAlignment="1"/>
    <xf numFmtId="49" fontId="1" fillId="0" borderId="0" xfId="0" applyNumberFormat="1" applyFont="1" applyAlignment="1"/>
    <xf numFmtId="167" fontId="1" fillId="0" borderId="0" xfId="0" applyNumberFormat="1" applyFont="1" applyAlignment="1"/>
    <xf numFmtId="49" fontId="28" fillId="4" borderId="0" xfId="0" applyNumberFormat="1" applyFont="1" applyFill="1" applyAlignment="1"/>
    <xf numFmtId="167" fontId="28" fillId="4" borderId="0" xfId="0" applyNumberFormat="1" applyFont="1" applyFill="1" applyAlignment="1"/>
    <xf numFmtId="166" fontId="28" fillId="4" borderId="0" xfId="0" applyNumberFormat="1" applyFont="1" applyFill="1" applyAlignment="1"/>
    <xf numFmtId="0" fontId="28" fillId="4" borderId="0" xfId="0" applyFont="1" applyFill="1" applyAlignment="1"/>
    <xf numFmtId="168" fontId="28" fillId="4" borderId="0" xfId="0" applyNumberFormat="1" applyFont="1" applyFill="1" applyAlignment="1"/>
    <xf numFmtId="0" fontId="28" fillId="4" borderId="0" xfId="0" applyFont="1" applyFill="1" applyAlignment="1">
      <alignment wrapText="1"/>
    </xf>
    <xf numFmtId="0" fontId="8" fillId="9" borderId="0" xfId="0" applyFont="1" applyFill="1" applyAlignment="1"/>
    <xf numFmtId="164" fontId="0" fillId="0" borderId="0" xfId="0" applyNumberFormat="1" applyAlignment="1"/>
    <xf numFmtId="0" fontId="0" fillId="0" borderId="0" xfId="0" applyFont="1" applyAlignment="1">
      <alignment wrapText="1"/>
    </xf>
    <xf numFmtId="0" fontId="31" fillId="4" borderId="0" xfId="0" applyFont="1" applyFill="1" applyAlignment="1"/>
    <xf numFmtId="0" fontId="1" fillId="9" borderId="11" xfId="0" applyFont="1" applyFill="1" applyBorder="1" applyAlignment="1"/>
    <xf numFmtId="0" fontId="32" fillId="9" borderId="11" xfId="0" applyFont="1" applyFill="1" applyBorder="1" applyAlignment="1">
      <alignment horizontal="center" vertical="center"/>
    </xf>
    <xf numFmtId="14" fontId="32" fillId="9" borderId="11" xfId="0" applyNumberFormat="1" applyFont="1" applyFill="1" applyBorder="1" applyAlignment="1">
      <alignment horizontal="center" vertical="center"/>
    </xf>
    <xf numFmtId="0" fontId="18" fillId="10" borderId="1" xfId="0" applyFont="1" applyFill="1" applyBorder="1" applyAlignment="1">
      <alignment horizontal="left" vertical="center"/>
    </xf>
    <xf numFmtId="0" fontId="33" fillId="10" borderId="1" xfId="0" applyFont="1" applyFill="1" applyBorder="1" applyAlignment="1">
      <alignment horizontal="center" vertical="center"/>
    </xf>
    <xf numFmtId="169" fontId="18" fillId="10" borderId="1" xfId="0" applyNumberFormat="1" applyFont="1" applyFill="1" applyBorder="1" applyAlignment="1">
      <alignment horizontal="right" vertical="center"/>
    </xf>
    <xf numFmtId="169" fontId="23" fillId="10" borderId="5" xfId="0" applyNumberFormat="1" applyFont="1" applyFill="1" applyBorder="1" applyAlignment="1">
      <alignment horizontal="right" vertical="center"/>
    </xf>
    <xf numFmtId="0" fontId="33" fillId="4" borderId="1" xfId="0" applyFont="1" applyFill="1" applyBorder="1" applyAlignment="1">
      <alignment horizontal="center" vertical="center"/>
    </xf>
    <xf numFmtId="169" fontId="18" fillId="4" borderId="1" xfId="0" applyNumberFormat="1" applyFont="1" applyFill="1" applyBorder="1" applyAlignment="1">
      <alignment horizontal="right" vertical="center"/>
    </xf>
    <xf numFmtId="169" fontId="23" fillId="4" borderId="5" xfId="0" applyNumberFormat="1" applyFont="1" applyFill="1" applyBorder="1" applyAlignment="1">
      <alignment horizontal="right" vertical="center"/>
    </xf>
    <xf numFmtId="0" fontId="19" fillId="10" borderId="5" xfId="0" applyFont="1" applyFill="1" applyBorder="1" applyAlignment="1">
      <alignment horizontal="left" vertical="center"/>
    </xf>
    <xf numFmtId="0" fontId="1" fillId="10" borderId="5" xfId="0" applyFont="1" applyFill="1" applyBorder="1" applyAlignment="1"/>
    <xf numFmtId="169" fontId="19" fillId="10" borderId="5" xfId="0" applyNumberFormat="1" applyFont="1" applyFill="1" applyBorder="1" applyAlignment="1">
      <alignment horizontal="right" vertical="center"/>
    </xf>
    <xf numFmtId="0" fontId="1" fillId="10" borderId="0" xfId="0" applyFont="1" applyFill="1" applyAlignment="1"/>
    <xf numFmtId="169" fontId="1" fillId="10" borderId="0" xfId="0" applyNumberFormat="1" applyFont="1" applyFill="1" applyAlignment="1"/>
    <xf numFmtId="0" fontId="22" fillId="9" borderId="5" xfId="0" applyFont="1" applyFill="1" applyBorder="1" applyAlignment="1">
      <alignment horizontal="left" vertical="center"/>
    </xf>
    <xf numFmtId="0" fontId="1" fillId="9" borderId="5" xfId="0" applyFont="1" applyFill="1" applyBorder="1" applyAlignment="1"/>
    <xf numFmtId="169" fontId="22" fillId="9" borderId="5" xfId="0" applyNumberFormat="1" applyFont="1" applyFill="1" applyBorder="1" applyAlignment="1">
      <alignment horizontal="right" vertical="center"/>
    </xf>
    <xf numFmtId="0" fontId="22" fillId="9" borderId="11" xfId="0" applyFont="1" applyFill="1" applyBorder="1" applyAlignment="1">
      <alignment horizontal="left" vertical="center"/>
    </xf>
    <xf numFmtId="169" fontId="22" fillId="9" borderId="11" xfId="0" applyNumberFormat="1" applyFont="1" applyFill="1" applyBorder="1" applyAlignment="1">
      <alignment horizontal="right" vertical="center"/>
    </xf>
    <xf numFmtId="166" fontId="19" fillId="10" borderId="5" xfId="0" applyNumberFormat="1" applyFont="1" applyFill="1" applyBorder="1" applyAlignment="1">
      <alignment horizontal="right" vertical="center"/>
    </xf>
    <xf numFmtId="0" fontId="13" fillId="9" borderId="0" xfId="0" applyFont="1" applyFill="1" applyAlignment="1"/>
    <xf numFmtId="0" fontId="22" fillId="9" borderId="5" xfId="0" applyFont="1" applyFill="1" applyBorder="1" applyAlignment="1">
      <alignment horizontal="center" vertical="center"/>
    </xf>
    <xf numFmtId="0" fontId="22" fillId="5" borderId="5" xfId="0" applyFont="1" applyFill="1" applyBorder="1" applyAlignment="1">
      <alignment horizontal="center" vertical="center"/>
    </xf>
    <xf numFmtId="0" fontId="17" fillId="10" borderId="1" xfId="0" applyFont="1" applyFill="1" applyBorder="1" applyAlignment="1">
      <alignment horizontal="left" vertical="center"/>
    </xf>
    <xf numFmtId="0" fontId="26" fillId="10" borderId="1" xfId="0" applyFont="1" applyFill="1" applyBorder="1" applyAlignment="1">
      <alignment horizontal="left" vertical="center" wrapText="1"/>
    </xf>
    <xf numFmtId="0" fontId="26" fillId="4" borderId="1" xfId="0" applyFont="1" applyFill="1" applyBorder="1" applyAlignment="1">
      <alignment horizontal="left" vertical="center" wrapText="1"/>
    </xf>
    <xf numFmtId="0" fontId="22" fillId="9" borderId="13" xfId="0" applyFont="1" applyFill="1" applyBorder="1" applyAlignment="1">
      <alignment horizontal="left" vertical="center"/>
    </xf>
    <xf numFmtId="169" fontId="22" fillId="9" borderId="13" xfId="0" applyNumberFormat="1" applyFont="1" applyFill="1" applyBorder="1" applyAlignment="1">
      <alignment horizontal="right" vertical="center"/>
    </xf>
    <xf numFmtId="0" fontId="34" fillId="9" borderId="13" xfId="0" applyFont="1" applyFill="1" applyBorder="1" applyAlignment="1">
      <alignment horizontal="left" vertical="center" wrapText="1"/>
    </xf>
    <xf numFmtId="169" fontId="1" fillId="0" borderId="0" xfId="0" applyNumberFormat="1" applyFont="1" applyAlignment="1"/>
    <xf numFmtId="166" fontId="22" fillId="9" borderId="13" xfId="0" applyNumberFormat="1" applyFont="1" applyFill="1" applyBorder="1" applyAlignment="1">
      <alignment horizontal="right" vertical="center"/>
    </xf>
    <xf numFmtId="166" fontId="18" fillId="10" borderId="1" xfId="0" applyNumberFormat="1" applyFont="1" applyFill="1" applyBorder="1" applyAlignment="1">
      <alignment horizontal="right" vertical="center"/>
    </xf>
    <xf numFmtId="166" fontId="18" fillId="4" borderId="1" xfId="0" applyNumberFormat="1" applyFont="1" applyFill="1" applyBorder="1" applyAlignment="1">
      <alignment horizontal="right" vertical="center"/>
    </xf>
    <xf numFmtId="169" fontId="0" fillId="0" borderId="0" xfId="0" applyNumberFormat="1" applyAlignment="1"/>
    <xf numFmtId="169" fontId="19" fillId="10" borderId="1" xfId="0" applyNumberFormat="1" applyFont="1" applyFill="1" applyBorder="1" applyAlignment="1">
      <alignment horizontal="center" vertical="center"/>
    </xf>
    <xf numFmtId="169" fontId="35" fillId="10" borderId="1" xfId="0" applyNumberFormat="1" applyFont="1" applyFill="1" applyBorder="1" applyAlignment="1">
      <alignment horizontal="center" vertical="center"/>
    </xf>
    <xf numFmtId="0" fontId="26" fillId="10" borderId="1" xfId="0" applyFont="1" applyFill="1" applyBorder="1" applyAlignment="1">
      <alignment horizontal="left" vertical="center"/>
    </xf>
    <xf numFmtId="169" fontId="36" fillId="4" borderId="1" xfId="0" applyNumberFormat="1" applyFont="1" applyFill="1" applyBorder="1" applyAlignment="1">
      <alignment horizontal="center" vertical="center"/>
    </xf>
    <xf numFmtId="169" fontId="19" fillId="4" borderId="1" xfId="0" applyNumberFormat="1" applyFont="1" applyFill="1" applyBorder="1" applyAlignment="1">
      <alignment horizontal="center" vertical="center"/>
    </xf>
    <xf numFmtId="0" fontId="26" fillId="4" borderId="1" xfId="0" applyFont="1" applyFill="1" applyBorder="1" applyAlignment="1">
      <alignment horizontal="left" vertical="center"/>
    </xf>
    <xf numFmtId="0" fontId="13" fillId="9" borderId="0" xfId="0" applyFont="1" applyFill="1" applyAlignment="1">
      <alignment horizontal="center" wrapText="1"/>
    </xf>
    <xf numFmtId="168" fontId="1" fillId="0" borderId="0" xfId="0" applyNumberFormat="1" applyFont="1" applyAlignment="1">
      <alignment wrapText="1"/>
    </xf>
    <xf numFmtId="168" fontId="1" fillId="4" borderId="0" xfId="0" applyNumberFormat="1" applyFont="1" applyFill="1" applyAlignment="1">
      <alignment wrapText="1"/>
    </xf>
    <xf numFmtId="0" fontId="38" fillId="10" borderId="0" xfId="0" applyFont="1" applyFill="1" applyAlignment="1">
      <alignment wrapText="1"/>
    </xf>
    <xf numFmtId="168" fontId="38" fillId="10" borderId="0" xfId="0" applyNumberFormat="1" applyFont="1" applyFill="1" applyAlignment="1">
      <alignment wrapText="1"/>
    </xf>
    <xf numFmtId="168" fontId="39" fillId="10" borderId="0" xfId="0" applyNumberFormat="1" applyFont="1" applyFill="1" applyAlignment="1">
      <alignment wrapText="1"/>
    </xf>
    <xf numFmtId="170" fontId="39" fillId="10" borderId="0" xfId="0" applyNumberFormat="1" applyFont="1" applyFill="1" applyAlignment="1">
      <alignment wrapText="1"/>
    </xf>
    <xf numFmtId="168" fontId="28" fillId="4" borderId="0" xfId="0" applyNumberFormat="1" applyFont="1" applyFill="1" applyAlignment="1">
      <alignment wrapText="1"/>
    </xf>
    <xf numFmtId="170" fontId="28" fillId="4" borderId="0" xfId="0" applyNumberFormat="1" applyFont="1" applyFill="1" applyAlignment="1">
      <alignment wrapText="1"/>
    </xf>
    <xf numFmtId="0" fontId="42" fillId="0" borderId="0" xfId="0" applyFont="1" applyAlignment="1">
      <alignment wrapText="1"/>
    </xf>
    <xf numFmtId="0" fontId="43" fillId="13" borderId="0" xfId="0" applyFont="1" applyFill="1" applyAlignment="1">
      <alignment wrapText="1"/>
    </xf>
    <xf numFmtId="0" fontId="43" fillId="10" borderId="0" xfId="0" applyFont="1" applyFill="1" applyAlignment="1">
      <alignment horizontal="center" wrapText="1"/>
    </xf>
    <xf numFmtId="169" fontId="43" fillId="10" borderId="0" xfId="0" applyNumberFormat="1" applyFont="1" applyFill="1" applyAlignment="1">
      <alignment horizontal="center" wrapText="1"/>
    </xf>
    <xf numFmtId="169" fontId="42" fillId="0" borderId="0" xfId="0" applyNumberFormat="1" applyFont="1" applyAlignment="1">
      <alignment wrapText="1"/>
    </xf>
    <xf numFmtId="169" fontId="44" fillId="0" borderId="0" xfId="0" applyNumberFormat="1" applyFont="1" applyAlignment="1">
      <alignment wrapText="1"/>
    </xf>
    <xf numFmtId="166" fontId="44" fillId="0" borderId="0" xfId="0" applyNumberFormat="1" applyFont="1" applyAlignment="1">
      <alignment wrapText="1"/>
    </xf>
    <xf numFmtId="0" fontId="46" fillId="9" borderId="14" xfId="0" applyFont="1" applyFill="1" applyBorder="1" applyAlignment="1">
      <alignment horizontal="center" vertical="center" wrapText="1"/>
    </xf>
    <xf numFmtId="169" fontId="46" fillId="9" borderId="14" xfId="0" applyNumberFormat="1" applyFont="1" applyFill="1" applyBorder="1" applyAlignment="1">
      <alignment horizontal="center" vertical="center" wrapText="1"/>
    </xf>
    <xf numFmtId="169" fontId="47" fillId="10" borderId="14" xfId="0" applyNumberFormat="1" applyFont="1" applyFill="1" applyBorder="1" applyAlignment="1">
      <alignment vertical="top" wrapText="1"/>
    </xf>
    <xf numFmtId="0" fontId="47" fillId="0" borderId="14" xfId="0" applyFont="1" applyBorder="1" applyAlignment="1">
      <alignment vertical="top" wrapText="1"/>
    </xf>
    <xf numFmtId="169" fontId="47" fillId="0" borderId="14" xfId="0" applyNumberFormat="1" applyFont="1" applyBorder="1" applyAlignment="1">
      <alignment vertical="top" wrapText="1"/>
    </xf>
    <xf numFmtId="0" fontId="47" fillId="13" borderId="14" xfId="0" applyFont="1" applyFill="1" applyBorder="1" applyAlignment="1">
      <alignment vertical="top" wrapText="1"/>
    </xf>
    <xf numFmtId="0" fontId="45" fillId="10" borderId="14" xfId="0" applyFont="1" applyFill="1" applyBorder="1" applyAlignment="1">
      <alignment vertical="top" wrapText="1"/>
    </xf>
    <xf numFmtId="0" fontId="49" fillId="0" borderId="0" xfId="0" applyFont="1" applyAlignment="1">
      <alignment vertical="center"/>
    </xf>
    <xf numFmtId="0" fontId="48" fillId="9" borderId="0" xfId="0" applyFont="1" applyFill="1" applyAlignment="1">
      <alignment horizontal="left" vertical="center"/>
    </xf>
    <xf numFmtId="0" fontId="48" fillId="9" borderId="0" xfId="0" applyFont="1" applyFill="1" applyAlignment="1">
      <alignment horizontal="center" vertical="center"/>
    </xf>
    <xf numFmtId="169" fontId="49" fillId="0" borderId="0" xfId="0" applyNumberFormat="1" applyFont="1" applyAlignment="1">
      <alignment vertical="center"/>
    </xf>
    <xf numFmtId="0" fontId="51" fillId="0" borderId="0" xfId="0" applyFont="1" applyAlignment="1">
      <alignment vertical="center"/>
    </xf>
    <xf numFmtId="169" fontId="51" fillId="0" borderId="0" xfId="0" applyNumberFormat="1" applyFont="1" applyAlignment="1">
      <alignment vertical="center"/>
    </xf>
    <xf numFmtId="166" fontId="51" fillId="0" borderId="0" xfId="0" applyNumberFormat="1" applyFont="1" applyAlignment="1">
      <alignment vertical="center"/>
    </xf>
    <xf numFmtId="169" fontId="48" fillId="9" borderId="0" xfId="0" applyNumberFormat="1" applyFont="1" applyFill="1" applyAlignment="1">
      <alignment horizontal="center" vertical="center"/>
    </xf>
    <xf numFmtId="0" fontId="52" fillId="14" borderId="0" xfId="0" applyFont="1" applyFill="1" applyAlignment="1">
      <alignment vertical="center" wrapText="1"/>
    </xf>
    <xf numFmtId="0" fontId="53" fillId="14" borderId="0" xfId="0" applyFont="1" applyFill="1" applyAlignment="1">
      <alignment vertical="center" wrapText="1"/>
    </xf>
    <xf numFmtId="0" fontId="55" fillId="10" borderId="3" xfId="0" applyFont="1" applyFill="1" applyBorder="1" applyAlignment="1">
      <alignment horizontal="center" vertical="center" wrapText="1"/>
    </xf>
    <xf numFmtId="0" fontId="56" fillId="10" borderId="1" xfId="0" applyFont="1" applyFill="1" applyBorder="1" applyAlignment="1">
      <alignment horizontal="left" vertical="center" wrapText="1"/>
    </xf>
    <xf numFmtId="171" fontId="44" fillId="10" borderId="1" xfId="0" applyNumberFormat="1" applyFont="1" applyFill="1" applyBorder="1" applyAlignment="1">
      <alignment horizontal="left" vertical="center" wrapText="1"/>
    </xf>
    <xf numFmtId="169" fontId="57" fillId="10" borderId="1" xfId="0" applyNumberFormat="1" applyFont="1" applyFill="1" applyBorder="1" applyAlignment="1">
      <alignment horizontal="right" vertical="center" wrapText="1"/>
    </xf>
    <xf numFmtId="171" fontId="44" fillId="10" borderId="1" xfId="0" applyNumberFormat="1" applyFont="1" applyFill="1" applyBorder="1" applyAlignment="1">
      <alignment horizontal="right" vertical="center" wrapText="1"/>
    </xf>
    <xf numFmtId="171" fontId="57" fillId="10" borderId="1" xfId="0" applyNumberFormat="1" applyFont="1" applyFill="1" applyBorder="1" applyAlignment="1">
      <alignment horizontal="right" vertical="center" wrapText="1"/>
    </xf>
    <xf numFmtId="0" fontId="57" fillId="10" borderId="1" xfId="0" applyFont="1" applyFill="1" applyBorder="1" applyAlignment="1">
      <alignment horizontal="left" vertical="center" wrapText="1"/>
    </xf>
    <xf numFmtId="0" fontId="58" fillId="10" borderId="1" xfId="0" applyFont="1" applyFill="1" applyBorder="1" applyAlignment="1">
      <alignment horizontal="left" vertical="center" wrapText="1"/>
    </xf>
    <xf numFmtId="0" fontId="56" fillId="4" borderId="1" xfId="0" applyFont="1" applyFill="1" applyBorder="1" applyAlignment="1">
      <alignment horizontal="left" vertical="center" wrapText="1"/>
    </xf>
    <xf numFmtId="171" fontId="44" fillId="4" borderId="1" xfId="0" applyNumberFormat="1" applyFont="1" applyFill="1" applyBorder="1" applyAlignment="1">
      <alignment horizontal="left" vertical="center" wrapText="1"/>
    </xf>
    <xf numFmtId="169" fontId="57" fillId="4" borderId="1" xfId="0" applyNumberFormat="1" applyFont="1" applyFill="1" applyBorder="1" applyAlignment="1">
      <alignment horizontal="right" vertical="center" wrapText="1"/>
    </xf>
    <xf numFmtId="171" fontId="44" fillId="4" borderId="1" xfId="0" applyNumberFormat="1" applyFont="1" applyFill="1" applyBorder="1" applyAlignment="1">
      <alignment horizontal="right" vertical="center" wrapText="1"/>
    </xf>
    <xf numFmtId="0" fontId="57" fillId="4" borderId="1" xfId="0" applyFont="1" applyFill="1" applyBorder="1" applyAlignment="1">
      <alignment horizontal="left" vertical="center" wrapText="1"/>
    </xf>
    <xf numFmtId="0" fontId="58" fillId="4" borderId="1" xfId="0" applyFont="1" applyFill="1" applyBorder="1" applyAlignment="1">
      <alignment horizontal="left" vertical="center" wrapText="1"/>
    </xf>
    <xf numFmtId="3" fontId="57" fillId="10" borderId="1" xfId="0" applyNumberFormat="1" applyFont="1" applyFill="1" applyBorder="1" applyAlignment="1">
      <alignment horizontal="right" vertical="center" wrapText="1"/>
    </xf>
    <xf numFmtId="3" fontId="57" fillId="4" borderId="1" xfId="0" applyNumberFormat="1" applyFont="1" applyFill="1" applyBorder="1" applyAlignment="1">
      <alignment horizontal="right" vertical="center" wrapText="1"/>
    </xf>
    <xf numFmtId="166" fontId="57" fillId="10" borderId="1" xfId="0" applyNumberFormat="1" applyFont="1" applyFill="1" applyBorder="1" applyAlignment="1">
      <alignment horizontal="right" vertical="center" wrapText="1"/>
    </xf>
    <xf numFmtId="172" fontId="57" fillId="10" borderId="1" xfId="0" applyNumberFormat="1" applyFont="1" applyFill="1" applyBorder="1" applyAlignment="1">
      <alignment horizontal="right" vertical="center" wrapText="1"/>
    </xf>
    <xf numFmtId="3" fontId="59" fillId="10" borderId="1" xfId="0" applyNumberFormat="1" applyFont="1" applyFill="1" applyBorder="1" applyAlignment="1">
      <alignment horizontal="right" vertical="center" wrapText="1"/>
    </xf>
    <xf numFmtId="169" fontId="42" fillId="0" borderId="0" xfId="0" applyNumberFormat="1" applyFont="1" applyAlignment="1">
      <alignment horizontal="right" wrapText="1"/>
    </xf>
    <xf numFmtId="169" fontId="55" fillId="10" borderId="3" xfId="0" applyNumberFormat="1" applyFont="1" applyFill="1" applyBorder="1" applyAlignment="1">
      <alignment horizontal="right" vertical="center" wrapText="1"/>
    </xf>
    <xf numFmtId="0" fontId="54" fillId="10" borderId="1" xfId="0" applyFont="1" applyFill="1" applyBorder="1" applyAlignment="1">
      <alignment horizontal="center" vertical="center" wrapText="1"/>
    </xf>
    <xf numFmtId="167" fontId="59" fillId="10" borderId="1" xfId="0" applyNumberFormat="1" applyFont="1" applyFill="1" applyBorder="1" applyAlignment="1">
      <alignment horizontal="center" vertical="center" wrapText="1"/>
    </xf>
    <xf numFmtId="0" fontId="59" fillId="10" borderId="1" xfId="0" applyFont="1" applyFill="1" applyBorder="1" applyAlignment="1">
      <alignment horizontal="center" vertical="center" wrapText="1"/>
    </xf>
    <xf numFmtId="0" fontId="60" fillId="10" borderId="1" xfId="0" applyFont="1" applyFill="1" applyBorder="1" applyAlignment="1">
      <alignment horizontal="center" vertical="center" wrapText="1"/>
    </xf>
    <xf numFmtId="164" fontId="57" fillId="10" borderId="1" xfId="0" applyNumberFormat="1" applyFont="1" applyFill="1" applyBorder="1" applyAlignment="1">
      <alignment horizontal="right" vertical="center" wrapText="1"/>
    </xf>
    <xf numFmtId="172" fontId="44" fillId="10" borderId="1" xfId="0" applyNumberFormat="1" applyFont="1" applyFill="1" applyBorder="1" applyAlignment="1">
      <alignment horizontal="right" vertical="center" wrapText="1"/>
    </xf>
    <xf numFmtId="172" fontId="61" fillId="10" borderId="1" xfId="0" applyNumberFormat="1" applyFont="1" applyFill="1" applyBorder="1" applyAlignment="1">
      <alignment horizontal="right" vertical="center" wrapText="1"/>
    </xf>
    <xf numFmtId="164" fontId="57" fillId="4" borderId="1" xfId="0" applyNumberFormat="1" applyFont="1" applyFill="1" applyBorder="1" applyAlignment="1">
      <alignment horizontal="right" vertical="center" wrapText="1"/>
    </xf>
    <xf numFmtId="172" fontId="44" fillId="4" borderId="1" xfId="0" applyNumberFormat="1" applyFont="1" applyFill="1" applyBorder="1" applyAlignment="1">
      <alignment horizontal="right" vertical="center" wrapText="1"/>
    </xf>
    <xf numFmtId="172" fontId="61" fillId="4" borderId="1" xfId="0" applyNumberFormat="1" applyFont="1" applyFill="1" applyBorder="1" applyAlignment="1">
      <alignment horizontal="right" vertical="center" wrapText="1"/>
    </xf>
    <xf numFmtId="172" fontId="57" fillId="4" borderId="1" xfId="0" applyNumberFormat="1" applyFont="1" applyFill="1" applyBorder="1" applyAlignment="1">
      <alignment horizontal="right" vertical="center" wrapText="1"/>
    </xf>
    <xf numFmtId="172" fontId="42" fillId="0" borderId="0" xfId="0" applyNumberFormat="1" applyFont="1" applyAlignment="1">
      <alignment horizontal="right" wrapText="1"/>
    </xf>
    <xf numFmtId="0" fontId="55" fillId="10" borderId="3" xfId="0" applyFont="1" applyFill="1" applyBorder="1" applyAlignment="1">
      <alignment horizontal="right" vertical="center" wrapText="1"/>
    </xf>
    <xf numFmtId="171" fontId="61" fillId="10" borderId="1" xfId="0" applyNumberFormat="1" applyFont="1" applyFill="1" applyBorder="1" applyAlignment="1">
      <alignment horizontal="center" vertical="center" wrapText="1"/>
    </xf>
    <xf numFmtId="169" fontId="57" fillId="4" borderId="1" xfId="0" applyNumberFormat="1" applyFont="1" applyFill="1" applyBorder="1" applyAlignment="1">
      <alignment horizontal="left" vertical="center" wrapText="1"/>
    </xf>
    <xf numFmtId="173" fontId="57" fillId="4" borderId="1" xfId="0" applyNumberFormat="1" applyFont="1" applyFill="1" applyBorder="1" applyAlignment="1">
      <alignment horizontal="right" vertical="center" wrapText="1"/>
    </xf>
    <xf numFmtId="169" fontId="57" fillId="10" borderId="1" xfId="0" applyNumberFormat="1" applyFont="1" applyFill="1" applyBorder="1" applyAlignment="1">
      <alignment horizontal="left" vertical="center" wrapText="1"/>
    </xf>
    <xf numFmtId="173" fontId="57" fillId="10" borderId="1" xfId="0" applyNumberFormat="1" applyFont="1" applyFill="1" applyBorder="1" applyAlignment="1">
      <alignment horizontal="right" vertical="center" wrapText="1"/>
    </xf>
    <xf numFmtId="0" fontId="59" fillId="4" borderId="1" xfId="0" applyFont="1" applyFill="1" applyBorder="1" applyAlignment="1">
      <alignment horizontal="left" vertical="center" wrapText="1"/>
    </xf>
    <xf numFmtId="169" fontId="59" fillId="4" borderId="1" xfId="0" applyNumberFormat="1" applyFont="1" applyFill="1" applyBorder="1" applyAlignment="1">
      <alignment horizontal="right" vertical="center" wrapText="1"/>
    </xf>
    <xf numFmtId="0" fontId="59" fillId="13" borderId="1" xfId="0" applyFont="1" applyFill="1" applyBorder="1" applyAlignment="1">
      <alignment horizontal="left" vertical="center" wrapText="1"/>
    </xf>
    <xf numFmtId="164" fontId="59" fillId="10" borderId="1" xfId="0" applyNumberFormat="1" applyFont="1" applyFill="1" applyBorder="1" applyAlignment="1">
      <alignment horizontal="right" vertical="center" wrapText="1"/>
    </xf>
    <xf numFmtId="0" fontId="54" fillId="13" borderId="1" xfId="0" applyFont="1" applyFill="1" applyBorder="1" applyAlignment="1">
      <alignment horizontal="left" vertical="center" wrapText="1"/>
    </xf>
    <xf numFmtId="167" fontId="59" fillId="10" borderId="1" xfId="0" applyNumberFormat="1" applyFont="1" applyFill="1" applyBorder="1" applyAlignment="1">
      <alignment horizontal="right" vertical="center" wrapText="1"/>
    </xf>
    <xf numFmtId="167" fontId="59" fillId="4" borderId="1" xfId="0" applyNumberFormat="1" applyFont="1" applyFill="1" applyBorder="1" applyAlignment="1">
      <alignment horizontal="right" vertical="center" wrapText="1"/>
    </xf>
    <xf numFmtId="0" fontId="40" fillId="9" borderId="5" xfId="0" applyFont="1" applyFill="1" applyBorder="1" applyAlignment="1">
      <alignment horizontal="center" vertical="center" wrapText="1"/>
    </xf>
    <xf numFmtId="0" fontId="48" fillId="9" borderId="0" xfId="0" applyFont="1" applyFill="1" applyAlignment="1">
      <alignment horizontal="center" vertical="center" wrapText="1"/>
    </xf>
    <xf numFmtId="0" fontId="49" fillId="0" borderId="0" xfId="0" applyFont="1" applyAlignment="1">
      <alignment vertical="center" wrapText="1"/>
    </xf>
    <xf numFmtId="0" fontId="41" fillId="10" borderId="0" xfId="0" applyFont="1" applyFill="1" applyAlignment="1">
      <alignment horizontal="left" vertical="center" wrapText="1"/>
    </xf>
    <xf numFmtId="0" fontId="55" fillId="10" borderId="1" xfId="0" applyFont="1" applyFill="1" applyBorder="1" applyAlignment="1">
      <alignment horizontal="center" vertical="center" wrapText="1"/>
    </xf>
    <xf numFmtId="0" fontId="57" fillId="10" borderId="1" xfId="0" applyFont="1" applyFill="1" applyBorder="1" applyAlignment="1">
      <alignment horizontal="center" vertical="center" wrapText="1"/>
    </xf>
    <xf numFmtId="0" fontId="62" fillId="10" borderId="1" xfId="0" applyFont="1" applyFill="1" applyBorder="1" applyAlignment="1">
      <alignment horizontal="left" vertical="center" wrapText="1"/>
    </xf>
    <xf numFmtId="169" fontId="56" fillId="10" borderId="1" xfId="0" applyNumberFormat="1" applyFont="1" applyFill="1" applyBorder="1" applyAlignment="1">
      <alignment horizontal="left" vertical="center" wrapText="1"/>
    </xf>
    <xf numFmtId="169" fontId="59" fillId="10" borderId="1" xfId="0" applyNumberFormat="1" applyFont="1" applyFill="1" applyBorder="1" applyAlignment="1">
      <alignment horizontal="right" vertical="center" wrapText="1"/>
    </xf>
    <xf numFmtId="169" fontId="56" fillId="10" borderId="1" xfId="0" applyNumberFormat="1" applyFont="1" applyFill="1" applyBorder="1" applyAlignment="1">
      <alignment horizontal="right" vertical="center" wrapText="1"/>
    </xf>
    <xf numFmtId="169" fontId="58" fillId="10" borderId="1" xfId="0" applyNumberFormat="1" applyFont="1" applyFill="1" applyBorder="1" applyAlignment="1">
      <alignment horizontal="left" vertical="center" wrapText="1"/>
    </xf>
    <xf numFmtId="0" fontId="55" fillId="4" borderId="1" xfId="0" applyFont="1" applyFill="1" applyBorder="1" applyAlignment="1">
      <alignment horizontal="center" vertical="center" wrapText="1"/>
    </xf>
    <xf numFmtId="0" fontId="57" fillId="4" borderId="1" xfId="0" applyFont="1" applyFill="1" applyBorder="1" applyAlignment="1">
      <alignment horizontal="center" vertical="center" wrapText="1"/>
    </xf>
    <xf numFmtId="0" fontId="62" fillId="4" borderId="1" xfId="0" applyFont="1" applyFill="1" applyBorder="1" applyAlignment="1">
      <alignment horizontal="left" vertical="center" wrapText="1"/>
    </xf>
    <xf numFmtId="0" fontId="63" fillId="4" borderId="1" xfId="0" applyFont="1" applyFill="1" applyBorder="1" applyAlignment="1">
      <alignment horizontal="left" vertical="center" wrapText="1"/>
    </xf>
    <xf numFmtId="169" fontId="56" fillId="4" borderId="1" xfId="0" applyNumberFormat="1" applyFont="1" applyFill="1" applyBorder="1" applyAlignment="1">
      <alignment horizontal="left" vertical="center" wrapText="1"/>
    </xf>
    <xf numFmtId="169" fontId="56" fillId="4" borderId="1" xfId="0" applyNumberFormat="1" applyFont="1" applyFill="1" applyBorder="1" applyAlignment="1">
      <alignment horizontal="right" vertical="center" wrapText="1"/>
    </xf>
    <xf numFmtId="169" fontId="58" fillId="4" borderId="1" xfId="0" applyNumberFormat="1" applyFont="1" applyFill="1" applyBorder="1" applyAlignment="1">
      <alignment horizontal="left" vertical="center" wrapText="1"/>
    </xf>
    <xf numFmtId="0" fontId="42" fillId="4" borderId="15" xfId="0" applyFont="1" applyFill="1" applyBorder="1" applyAlignment="1">
      <alignment wrapText="1"/>
    </xf>
    <xf numFmtId="169" fontId="42" fillId="4" borderId="15" xfId="0" applyNumberFormat="1" applyFont="1" applyFill="1" applyBorder="1" applyAlignment="1">
      <alignment wrapText="1"/>
    </xf>
    <xf numFmtId="0" fontId="55" fillId="15" borderId="1" xfId="0" applyFont="1" applyFill="1" applyBorder="1" applyAlignment="1">
      <alignment horizontal="center" vertical="center" wrapText="1"/>
    </xf>
    <xf numFmtId="0" fontId="59" fillId="15" borderId="1" xfId="0" applyFont="1" applyFill="1" applyBorder="1" applyAlignment="1">
      <alignment horizontal="center" vertical="center" wrapText="1"/>
    </xf>
    <xf numFmtId="0" fontId="55" fillId="15" borderId="1" xfId="0" applyFont="1" applyFill="1" applyBorder="1" applyAlignment="1">
      <alignment horizontal="left" vertical="center" wrapText="1"/>
    </xf>
    <xf numFmtId="0" fontId="59" fillId="15" borderId="1" xfId="0" applyFont="1" applyFill="1" applyBorder="1" applyAlignment="1">
      <alignment horizontal="left" vertical="center" wrapText="1"/>
    </xf>
    <xf numFmtId="169" fontId="54" fillId="15" borderId="1" xfId="0" applyNumberFormat="1" applyFont="1" applyFill="1" applyBorder="1" applyAlignment="1">
      <alignment horizontal="left" vertical="center" wrapText="1"/>
    </xf>
    <xf numFmtId="169" fontId="59" fillId="15" borderId="1" xfId="0" applyNumberFormat="1" applyFont="1" applyFill="1" applyBorder="1" applyAlignment="1">
      <alignment horizontal="right" vertical="center" wrapText="1"/>
    </xf>
    <xf numFmtId="169" fontId="54" fillId="15" borderId="1" xfId="0" applyNumberFormat="1" applyFont="1" applyFill="1" applyBorder="1" applyAlignment="1">
      <alignment horizontal="right" vertical="center" wrapText="1"/>
    </xf>
    <xf numFmtId="169" fontId="60" fillId="15" borderId="1" xfId="0" applyNumberFormat="1" applyFont="1" applyFill="1" applyBorder="1" applyAlignment="1">
      <alignment horizontal="left" vertical="center" wrapText="1"/>
    </xf>
    <xf numFmtId="0" fontId="43" fillId="15" borderId="0" xfId="0" applyFont="1" applyFill="1" applyAlignment="1">
      <alignment wrapText="1"/>
    </xf>
    <xf numFmtId="175" fontId="57" fillId="4" borderId="1" xfId="0" applyNumberFormat="1" applyFont="1" applyFill="1" applyBorder="1" applyAlignment="1">
      <alignment horizontal="right" vertical="center" wrapText="1"/>
    </xf>
    <xf numFmtId="175" fontId="56" fillId="4" borderId="1" xfId="0" applyNumberFormat="1" applyFont="1" applyFill="1" applyBorder="1" applyAlignment="1">
      <alignment horizontal="right" vertical="center" wrapText="1"/>
    </xf>
    <xf numFmtId="168" fontId="64" fillId="0" borderId="0" xfId="0" applyNumberFormat="1" applyFont="1" applyAlignment="1">
      <alignment wrapText="1"/>
    </xf>
    <xf numFmtId="166" fontId="64" fillId="0" borderId="0" xfId="0" applyNumberFormat="1" applyFont="1" applyAlignment="1">
      <alignment wrapText="1"/>
    </xf>
    <xf numFmtId="166" fontId="1" fillId="0" borderId="0" xfId="0" applyNumberFormat="1" applyFont="1" applyAlignment="1">
      <alignment wrapText="1"/>
    </xf>
    <xf numFmtId="0" fontId="50" fillId="17" borderId="0" xfId="0" applyFont="1" applyFill="1" applyAlignment="1">
      <alignment vertical="center" wrapText="1"/>
    </xf>
    <xf numFmtId="0" fontId="16" fillId="17" borderId="0" xfId="0" applyFont="1" applyFill="1" applyAlignment="1">
      <alignment vertical="center"/>
    </xf>
    <xf numFmtId="0" fontId="65" fillId="14" borderId="0" xfId="0" applyFont="1" applyFill="1" applyAlignment="1">
      <alignment vertical="center" wrapText="1"/>
    </xf>
    <xf numFmtId="0" fontId="67" fillId="10" borderId="0" xfId="0" applyFont="1" applyFill="1" applyAlignment="1">
      <alignment horizontal="center" vertical="center"/>
    </xf>
    <xf numFmtId="0" fontId="39" fillId="4" borderId="0" xfId="0" applyFont="1" applyFill="1" applyAlignment="1">
      <alignment horizontal="center"/>
    </xf>
    <xf numFmtId="0" fontId="0" fillId="0" borderId="0" xfId="0" applyAlignment="1">
      <alignment vertical="top"/>
    </xf>
    <xf numFmtId="0" fontId="39" fillId="4" borderId="0" xfId="0" applyFont="1" applyFill="1" applyAlignment="1">
      <alignment horizontal="center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0" fontId="18" fillId="11" borderId="1" xfId="0" applyFont="1" applyFill="1" applyBorder="1" applyAlignment="1">
      <alignment horizontal="left" vertical="center" wrapText="1"/>
    </xf>
    <xf numFmtId="0" fontId="18" fillId="4" borderId="1" xfId="0" applyFont="1" applyFill="1" applyBorder="1" applyAlignment="1">
      <alignment horizontal="left" vertical="center" wrapText="1"/>
    </xf>
    <xf numFmtId="0" fontId="47" fillId="10" borderId="14" xfId="0" applyFont="1" applyFill="1" applyBorder="1" applyAlignment="1">
      <alignment vertical="top" wrapText="1"/>
    </xf>
    <xf numFmtId="0" fontId="55" fillId="10" borderId="3" xfId="0" applyFont="1" applyFill="1" applyBorder="1" applyAlignment="1">
      <alignment horizontal="left" vertical="center" wrapText="1"/>
    </xf>
    <xf numFmtId="0" fontId="41" fillId="4" borderId="15" xfId="0" applyFont="1" applyFill="1" applyBorder="1" applyAlignment="1">
      <alignment wrapText="1"/>
    </xf>
    <xf numFmtId="0" fontId="42" fillId="18" borderId="0" xfId="0" applyFont="1" applyFill="1" applyAlignment="1">
      <alignment wrapText="1"/>
    </xf>
    <xf numFmtId="0" fontId="55" fillId="18" borderId="3" xfId="0" applyFont="1" applyFill="1" applyBorder="1" applyAlignment="1">
      <alignment horizontal="left" vertical="center" wrapText="1"/>
    </xf>
    <xf numFmtId="0" fontId="59" fillId="18" borderId="1" xfId="0" applyFont="1" applyFill="1" applyBorder="1" applyAlignment="1">
      <alignment horizontal="left" vertical="center" wrapText="1"/>
    </xf>
    <xf numFmtId="167" fontId="42" fillId="18" borderId="1" xfId="0" applyNumberFormat="1" applyFont="1" applyFill="1" applyBorder="1" applyAlignment="1">
      <alignment horizontal="right" vertical="center" wrapText="1"/>
    </xf>
    <xf numFmtId="167" fontId="44" fillId="18" borderId="1" xfId="0" applyNumberFormat="1" applyFont="1" applyFill="1" applyBorder="1" applyAlignment="1">
      <alignment horizontal="right" vertical="center" wrapText="1"/>
    </xf>
    <xf numFmtId="167" fontId="57" fillId="18" borderId="1" xfId="0" applyNumberFormat="1" applyFont="1" applyFill="1" applyBorder="1" applyAlignment="1">
      <alignment horizontal="right" vertical="center" wrapText="1"/>
    </xf>
    <xf numFmtId="164" fontId="57" fillId="18" borderId="1" xfId="0" applyNumberFormat="1" applyFont="1" applyFill="1" applyBorder="1" applyAlignment="1">
      <alignment horizontal="right" vertical="center" wrapText="1"/>
    </xf>
    <xf numFmtId="1" fontId="57" fillId="18" borderId="1" xfId="0" applyNumberFormat="1" applyFont="1" applyFill="1" applyBorder="1" applyAlignment="1">
      <alignment horizontal="right" vertical="center" wrapText="1"/>
    </xf>
    <xf numFmtId="1" fontId="44" fillId="18" borderId="1" xfId="0" applyNumberFormat="1" applyFont="1" applyFill="1" applyBorder="1" applyAlignment="1">
      <alignment horizontal="right" vertical="center" wrapText="1"/>
    </xf>
    <xf numFmtId="174" fontId="57" fillId="18" borderId="1" xfId="0" applyNumberFormat="1" applyFont="1" applyFill="1" applyBorder="1" applyAlignment="1">
      <alignment horizontal="right" vertical="center" wrapText="1"/>
    </xf>
    <xf numFmtId="0" fontId="58" fillId="18" borderId="1" xfId="0" applyFont="1" applyFill="1" applyBorder="1" applyAlignment="1">
      <alignment horizontal="left" vertical="center" wrapText="1"/>
    </xf>
    <xf numFmtId="0" fontId="54" fillId="18" borderId="1" xfId="0" applyFont="1" applyFill="1" applyBorder="1" applyAlignment="1">
      <alignment horizontal="left" vertical="center" wrapText="1"/>
    </xf>
    <xf numFmtId="0" fontId="57" fillId="18" borderId="1" xfId="0" applyFont="1" applyFill="1" applyBorder="1" applyAlignment="1">
      <alignment horizontal="left" vertical="center" wrapText="1"/>
    </xf>
    <xf numFmtId="0" fontId="58" fillId="18" borderId="3" xfId="0" applyFont="1" applyFill="1" applyBorder="1" applyAlignment="1">
      <alignment horizontal="left" vertical="center" wrapText="1"/>
    </xf>
    <xf numFmtId="0" fontId="12" fillId="9" borderId="0" xfId="0" applyFont="1" applyFill="1" applyBorder="1" applyAlignment="1">
      <alignment horizontal="left" vertical="center" wrapText="1"/>
    </xf>
    <xf numFmtId="0" fontId="37" fillId="10" borderId="0" xfId="0" applyFont="1" applyFill="1" applyBorder="1" applyAlignment="1">
      <alignment horizontal="left" vertical="center" wrapText="1"/>
    </xf>
    <xf numFmtId="0" fontId="0" fillId="4" borderId="1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left" vertical="center" wrapText="1"/>
    </xf>
    <xf numFmtId="0" fontId="7" fillId="0" borderId="0" xfId="0" applyFont="1" applyBorder="1" applyAlignment="1">
      <alignment horizontal="left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left" vertical="center" wrapText="1"/>
    </xf>
    <xf numFmtId="0" fontId="0" fillId="4" borderId="1" xfId="0" applyFont="1" applyFill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18" fillId="11" borderId="1" xfId="0" applyFont="1" applyFill="1" applyBorder="1" applyAlignment="1">
      <alignment horizontal="left" vertical="center" wrapText="1"/>
    </xf>
    <xf numFmtId="0" fontId="26" fillId="10" borderId="3" xfId="0" applyFont="1" applyFill="1" applyBorder="1" applyAlignment="1">
      <alignment horizontal="left" vertical="center" wrapText="1"/>
    </xf>
    <xf numFmtId="0" fontId="19" fillId="10" borderId="3" xfId="0" applyFont="1" applyFill="1" applyBorder="1" applyAlignment="1">
      <alignment horizontal="left" vertical="center"/>
    </xf>
    <xf numFmtId="0" fontId="18" fillId="4" borderId="1" xfId="0" applyFont="1" applyFill="1" applyBorder="1" applyAlignment="1">
      <alignment horizontal="left" vertical="center" wrapText="1"/>
    </xf>
    <xf numFmtId="0" fontId="21" fillId="10" borderId="3" xfId="0" applyFont="1" applyFill="1" applyBorder="1" applyAlignment="1">
      <alignment horizontal="left" vertical="center"/>
    </xf>
    <xf numFmtId="0" fontId="21" fillId="11" borderId="6" xfId="0" applyFont="1" applyFill="1" applyBorder="1" applyAlignment="1">
      <alignment horizontal="left" vertical="center"/>
    </xf>
    <xf numFmtId="0" fontId="12" fillId="9" borderId="0" xfId="0" applyFont="1" applyFill="1" applyBorder="1" applyAlignment="1">
      <alignment horizontal="left" vertical="center"/>
    </xf>
    <xf numFmtId="0" fontId="14" fillId="10" borderId="0" xfId="0" applyFont="1" applyFill="1" applyBorder="1" applyAlignment="1">
      <alignment horizontal="left" vertical="center"/>
    </xf>
    <xf numFmtId="0" fontId="15" fillId="0" borderId="0" xfId="0" applyFont="1" applyBorder="1" applyAlignment="1">
      <alignment horizontal="left" vertical="center" wrapText="1"/>
    </xf>
    <xf numFmtId="0" fontId="16" fillId="3" borderId="3" xfId="0" applyFont="1" applyFill="1" applyBorder="1" applyAlignment="1">
      <alignment horizontal="left" vertical="center"/>
    </xf>
    <xf numFmtId="0" fontId="16" fillId="3" borderId="4" xfId="0" applyFont="1" applyFill="1" applyBorder="1" applyAlignment="1">
      <alignment horizontal="left" vertical="center"/>
    </xf>
    <xf numFmtId="0" fontId="13" fillId="9" borderId="0" xfId="0" applyFont="1" applyFill="1" applyBorder="1" applyAlignment="1">
      <alignment horizontal="center" vertical="center"/>
    </xf>
    <xf numFmtId="0" fontId="27" fillId="12" borderId="0" xfId="0" applyFont="1" applyFill="1" applyBorder="1" applyAlignment="1">
      <alignment vertical="center" wrapText="1"/>
    </xf>
    <xf numFmtId="0" fontId="29" fillId="9" borderId="0" xfId="0" applyFont="1" applyFill="1" applyBorder="1" applyAlignment="1">
      <alignment horizontal="left" vertical="center"/>
    </xf>
    <xf numFmtId="0" fontId="30" fillId="12" borderId="0" xfId="0" applyFont="1" applyFill="1" applyBorder="1" applyAlignment="1">
      <alignment horizontal="left" vertical="center"/>
    </xf>
    <xf numFmtId="0" fontId="19" fillId="10" borderId="12" xfId="0" applyFont="1" applyFill="1" applyBorder="1" applyAlignment="1">
      <alignment horizontal="left" vertical="center"/>
    </xf>
    <xf numFmtId="0" fontId="26" fillId="10" borderId="12" xfId="0" applyFont="1" applyFill="1" applyBorder="1" applyAlignment="1">
      <alignment horizontal="left" vertical="center"/>
    </xf>
    <xf numFmtId="0" fontId="21" fillId="10" borderId="0" xfId="0" applyFont="1" applyFill="1" applyBorder="1" applyAlignment="1">
      <alignment wrapText="1"/>
    </xf>
    <xf numFmtId="0" fontId="1" fillId="10" borderId="0" xfId="0" applyFont="1" applyFill="1" applyBorder="1" applyAlignment="1">
      <alignment wrapText="1"/>
    </xf>
    <xf numFmtId="0" fontId="45" fillId="10" borderId="14" xfId="0" applyFont="1" applyFill="1" applyBorder="1" applyAlignment="1">
      <alignment vertical="center" wrapText="1"/>
    </xf>
    <xf numFmtId="0" fontId="47" fillId="10" borderId="14" xfId="0" applyFont="1" applyFill="1" applyBorder="1" applyAlignment="1">
      <alignment vertical="top" wrapText="1"/>
    </xf>
    <xf numFmtId="0" fontId="40" fillId="9" borderId="0" xfId="0" applyFont="1" applyFill="1" applyBorder="1" applyAlignment="1">
      <alignment wrapText="1"/>
    </xf>
    <xf numFmtId="0" fontId="41" fillId="0" borderId="0" xfId="0" applyFont="1" applyBorder="1" applyAlignment="1">
      <alignment wrapText="1"/>
    </xf>
    <xf numFmtId="0" fontId="43" fillId="10" borderId="0" xfId="0" applyFont="1" applyFill="1" applyBorder="1" applyAlignment="1">
      <alignment vertical="center" wrapText="1"/>
    </xf>
    <xf numFmtId="0" fontId="48" fillId="9" borderId="0" xfId="0" applyFont="1" applyFill="1" applyBorder="1" applyAlignment="1">
      <alignment horizontal="left" vertical="center" wrapText="1"/>
    </xf>
    <xf numFmtId="0" fontId="50" fillId="10" borderId="0" xfId="0" applyFont="1" applyFill="1" applyBorder="1" applyAlignment="1">
      <alignment vertical="center" wrapText="1"/>
    </xf>
    <xf numFmtId="0" fontId="59" fillId="10" borderId="1" xfId="0" applyFont="1" applyFill="1" applyBorder="1" applyAlignment="1">
      <alignment horizontal="left" vertical="center" wrapText="1"/>
    </xf>
    <xf numFmtId="0" fontId="40" fillId="9" borderId="0" xfId="0" applyFont="1" applyFill="1" applyBorder="1" applyAlignment="1">
      <alignment horizontal="left" vertical="center" wrapText="1"/>
    </xf>
    <xf numFmtId="0" fontId="41" fillId="10" borderId="0" xfId="0" applyFont="1" applyFill="1" applyBorder="1" applyAlignment="1">
      <alignment horizontal="left" vertical="center" wrapText="1"/>
    </xf>
    <xf numFmtId="0" fontId="54" fillId="10" borderId="5" xfId="0" applyFont="1" applyFill="1" applyBorder="1" applyAlignment="1">
      <alignment horizontal="left" vertical="center" wrapText="1"/>
    </xf>
    <xf numFmtId="0" fontId="54" fillId="10" borderId="1" xfId="0" applyFont="1" applyFill="1" applyBorder="1" applyAlignment="1">
      <alignment horizontal="left" vertical="center" wrapText="1"/>
    </xf>
    <xf numFmtId="0" fontId="48" fillId="9" borderId="0" xfId="0" applyFont="1" applyFill="1" applyBorder="1" applyAlignment="1">
      <alignment horizontal="left" vertical="center"/>
    </xf>
    <xf numFmtId="0" fontId="55" fillId="10" borderId="3" xfId="0" applyFont="1" applyFill="1" applyBorder="1" applyAlignment="1">
      <alignment horizontal="left" vertical="center" wrapText="1"/>
    </xf>
    <xf numFmtId="0" fontId="21" fillId="16" borderId="0" xfId="0" applyFont="1" applyFill="1" applyBorder="1" applyAlignment="1">
      <alignment wrapText="1"/>
    </xf>
    <xf numFmtId="0" fontId="50" fillId="17" borderId="0" xfId="0" applyFont="1" applyFill="1" applyBorder="1" applyAlignment="1">
      <alignment vertical="center" wrapText="1"/>
    </xf>
    <xf numFmtId="0" fontId="8" fillId="9" borderId="0" xfId="0" applyFont="1" applyFill="1" applyBorder="1" applyAlignment="1">
      <alignment horizontal="center" vertical="center"/>
    </xf>
    <xf numFmtId="0" fontId="43" fillId="18" borderId="0" xfId="0" applyFont="1" applyFill="1" applyAlignment="1">
      <alignment wrapText="1"/>
    </xf>
    <xf numFmtId="0" fontId="42" fillId="0" borderId="0" xfId="0" applyFont="1" applyAlignment="1">
      <alignment horizontal="left" wrapText="1"/>
    </xf>
    <xf numFmtId="0" fontId="12" fillId="18" borderId="0" xfId="0" applyFont="1" applyFill="1" applyAlignment="1">
      <alignment horizontal="left" vertical="center" wrapText="1"/>
    </xf>
    <xf numFmtId="0" fontId="37" fillId="18" borderId="0" xfId="0" applyFont="1" applyFill="1" applyAlignment="1">
      <alignment horizontal="left" vertical="center" wrapText="1"/>
    </xf>
    <xf numFmtId="0" fontId="53" fillId="14" borderId="0" xfId="0" applyFont="1" applyFill="1" applyBorder="1" applyAlignment="1">
      <alignment horizontal="left" vertical="center" wrapText="1"/>
    </xf>
    <xf numFmtId="0" fontId="53" fillId="14" borderId="0" xfId="0" applyFont="1" applyFill="1" applyAlignment="1">
      <alignment horizontal="left" vertical="center" wrapText="1"/>
    </xf>
    <xf numFmtId="0" fontId="40" fillId="18" borderId="0" xfId="0" applyFont="1" applyFill="1" applyBorder="1" applyAlignment="1">
      <alignment horizontal="center" vertical="center" wrapText="1"/>
    </xf>
    <xf numFmtId="0" fontId="55" fillId="18" borderId="4" xfId="0" applyFont="1" applyFill="1" applyBorder="1" applyAlignment="1">
      <alignment horizontal="left" vertical="center" wrapText="1"/>
    </xf>
    <xf numFmtId="0" fontId="59" fillId="18" borderId="16" xfId="0" applyFont="1" applyFill="1" applyBorder="1" applyAlignment="1">
      <alignment horizontal="left" vertical="center" wrapText="1"/>
    </xf>
    <xf numFmtId="167" fontId="42" fillId="18" borderId="16" xfId="0" applyNumberFormat="1" applyFont="1" applyFill="1" applyBorder="1" applyAlignment="1">
      <alignment horizontal="right" vertical="center" wrapText="1"/>
    </xf>
    <xf numFmtId="167" fontId="44" fillId="18" borderId="16" xfId="0" applyNumberFormat="1" applyFont="1" applyFill="1" applyBorder="1" applyAlignment="1">
      <alignment horizontal="right" vertical="center" wrapText="1"/>
    </xf>
    <xf numFmtId="167" fontId="57" fillId="18" borderId="16" xfId="0" applyNumberFormat="1" applyFont="1" applyFill="1" applyBorder="1" applyAlignment="1">
      <alignment horizontal="right" vertical="center" wrapText="1"/>
    </xf>
    <xf numFmtId="164" fontId="57" fillId="18" borderId="16" xfId="0" applyNumberFormat="1" applyFont="1" applyFill="1" applyBorder="1" applyAlignment="1">
      <alignment horizontal="right" vertical="center" wrapText="1"/>
    </xf>
    <xf numFmtId="1" fontId="57" fillId="18" borderId="16" xfId="0" applyNumberFormat="1" applyFont="1" applyFill="1" applyBorder="1" applyAlignment="1">
      <alignment horizontal="right" vertical="center" wrapText="1"/>
    </xf>
    <xf numFmtId="1" fontId="44" fillId="18" borderId="16" xfId="0" applyNumberFormat="1" applyFont="1" applyFill="1" applyBorder="1" applyAlignment="1">
      <alignment horizontal="right" vertical="center" wrapText="1"/>
    </xf>
    <xf numFmtId="174" fontId="57" fillId="18" borderId="16" xfId="0" applyNumberFormat="1" applyFont="1" applyFill="1" applyBorder="1" applyAlignment="1">
      <alignment horizontal="right" vertical="center" wrapText="1"/>
    </xf>
    <xf numFmtId="0" fontId="58" fillId="18" borderId="16" xfId="0" applyFont="1" applyFill="1" applyBorder="1" applyAlignment="1">
      <alignment horizontal="left" vertical="center" wrapText="1"/>
    </xf>
    <xf numFmtId="0" fontId="55" fillId="18" borderId="1" xfId="0" applyFont="1" applyFill="1" applyBorder="1" applyAlignment="1">
      <alignment horizontal="center" vertical="center" wrapText="1"/>
    </xf>
    <xf numFmtId="0" fontId="57" fillId="18" borderId="1" xfId="0" applyFont="1" applyFill="1" applyBorder="1" applyAlignment="1">
      <alignment horizontal="center" vertical="center" wrapText="1"/>
    </xf>
    <xf numFmtId="0" fontId="62" fillId="18" borderId="1" xfId="0" applyFont="1" applyFill="1" applyBorder="1" applyAlignment="1">
      <alignment horizontal="left" vertical="center" wrapText="1"/>
    </xf>
    <xf numFmtId="0" fontId="56" fillId="18" borderId="1" xfId="0" applyFont="1" applyFill="1" applyBorder="1" applyAlignment="1">
      <alignment horizontal="left" vertical="center" wrapText="1"/>
    </xf>
    <xf numFmtId="175" fontId="59" fillId="18" borderId="1" xfId="0" applyNumberFormat="1" applyFont="1" applyFill="1" applyBorder="1" applyAlignment="1">
      <alignment horizontal="right" vertical="center" wrapText="1"/>
    </xf>
    <xf numFmtId="175" fontId="56" fillId="18" borderId="1" xfId="0" applyNumberFormat="1" applyFont="1" applyFill="1" applyBorder="1" applyAlignment="1">
      <alignment horizontal="right" vertical="center" wrapText="1"/>
    </xf>
    <xf numFmtId="0" fontId="63" fillId="18" borderId="1" xfId="0" applyFont="1" applyFill="1" applyBorder="1" applyAlignment="1">
      <alignment horizontal="left" vertical="center" wrapText="1"/>
    </xf>
    <xf numFmtId="175" fontId="57" fillId="18" borderId="1" xfId="0" applyNumberFormat="1" applyFont="1" applyFill="1" applyBorder="1" applyAlignment="1">
      <alignment horizontal="right" vertical="center" wrapText="1"/>
    </xf>
    <xf numFmtId="0" fontId="42" fillId="18" borderId="15" xfId="0" applyFont="1" applyFill="1" applyBorder="1" applyAlignment="1">
      <alignment wrapText="1"/>
    </xf>
    <xf numFmtId="0" fontId="55" fillId="18" borderId="3" xfId="0" applyFont="1" applyFill="1" applyBorder="1" applyAlignment="1">
      <alignment horizontal="left" vertical="center" wrapText="1"/>
    </xf>
    <xf numFmtId="0" fontId="58" fillId="18" borderId="3" xfId="0" applyFont="1" applyFill="1" applyBorder="1" applyAlignment="1">
      <alignment horizontal="left" vertical="center" wrapText="1"/>
    </xf>
    <xf numFmtId="0" fontId="13" fillId="18" borderId="0" xfId="0" applyFont="1" applyFill="1" applyAlignment="1"/>
    <xf numFmtId="0" fontId="41" fillId="4" borderId="17" xfId="0" applyFont="1" applyFill="1" applyBorder="1" applyAlignment="1">
      <alignment horizontal="center" wrapText="1"/>
    </xf>
    <xf numFmtId="0" fontId="41" fillId="4" borderId="2" xfId="0" applyFont="1" applyFill="1" applyBorder="1" applyAlignment="1">
      <alignment horizontal="center" wrapText="1"/>
    </xf>
    <xf numFmtId="0" fontId="41" fillId="4" borderId="18" xfId="0" applyFont="1" applyFill="1" applyBorder="1" applyAlignment="1">
      <alignment horizontal="center" wrapText="1"/>
    </xf>
    <xf numFmtId="0" fontId="66" fillId="14" borderId="0" xfId="0" applyFont="1" applyFill="1" applyAlignment="1">
      <alignment horizontal="left" vertical="center" wrapText="1"/>
    </xf>
    <xf numFmtId="0" fontId="53" fillId="14" borderId="0" xfId="0" applyFont="1" applyFill="1" applyAlignment="1">
      <alignment vertical="center"/>
    </xf>
  </cellXfs>
  <cellStyles count="2">
    <cellStyle name="Normal" xfId="0" builtinId="0"/>
    <cellStyle name="Обычный" xfId="1" xr:uid="{00000000-0005-0000-0000-000006000000}"/>
  </cellStyles>
  <dxfs count="6">
    <dxf>
      <font>
        <color rgb="FF2E9E5B"/>
      </font>
    </dxf>
    <dxf>
      <font>
        <color rgb="FFC0392B"/>
      </font>
    </dxf>
    <dxf>
      <font>
        <color rgb="FFC0392B"/>
      </font>
    </dxf>
    <dxf>
      <font>
        <color rgb="FF2E9E5B"/>
      </font>
    </dxf>
    <dxf>
      <font>
        <color rgb="FFC0392B"/>
      </font>
    </dxf>
    <dxf>
      <font>
        <color rgb="FF2E9E5B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EEEEEE"/>
      <rgbColor rgb="FFFF00FF"/>
      <rgbColor rgb="FFF5F5F5"/>
      <rgbColor rgb="FF800000"/>
      <rgbColor rgb="FF008000"/>
      <rgbColor rgb="FF000080"/>
      <rgbColor rgb="FF7F6000"/>
      <rgbColor rgb="FF800080"/>
      <rgbColor rgb="FF4F81BD"/>
      <rgbColor rgb="FFB8BCC8"/>
      <rgbColor rgb="FF808080"/>
      <rgbColor rgb="FFAAAAAA"/>
      <rgbColor rgb="FFC0504D"/>
      <rgbColor rgb="FFFFF2CC"/>
      <rgbColor rgb="FFE8F0FE"/>
      <rgbColor rgb="FF660066"/>
      <rgbColor rgb="FFD9E2F3"/>
      <rgbColor rgb="FF0066CC"/>
      <rgbColor rgb="FFBDD7EE"/>
      <rgbColor rgb="FF000080"/>
      <rgbColor rgb="FFFF00FF"/>
      <rgbColor rgb="FFF0F0F0"/>
      <rgbColor rgb="FF00FFFF"/>
      <rgbColor rgb="FF800080"/>
      <rgbColor rgb="FF800000"/>
      <rgbColor rgb="FF777777"/>
      <rgbColor rgb="FF0000FF"/>
      <rgbColor rgb="FF00CCFF"/>
      <rgbColor rgb="FFEAF2F8"/>
      <rgbColor rgb="FFE2F0D9"/>
      <rgbColor rgb="FFFFFBEB"/>
      <rgbColor rgb="FFCCCCCC"/>
      <rgbColor rgb="FFDDDDDD"/>
      <rgbColor rgb="FFB3B3B3"/>
      <rgbColor rgb="FFD9D9D9"/>
      <rgbColor rgb="FF2E75B6"/>
      <rgbColor rgb="FFF3F8FC"/>
      <rgbColor rgb="FFF2F2F2"/>
      <rgbColor rgb="FFDCE6F2"/>
      <rgbColor rgb="FFF2F3F7"/>
      <rgbColor rgb="FFFF6600"/>
      <rgbColor rgb="FF666666"/>
      <rgbColor rgb="FF888888"/>
      <rgbColor rgb="FF374151"/>
      <rgbColor rgb="FF2E9E5B"/>
      <rgbColor rgb="FF404040"/>
      <rgbColor rgb="FF1F2937"/>
      <rgbColor rgb="FFC0392B"/>
      <rgbColor rgb="FF595959"/>
      <rgbColor rgb="FF1F497D"/>
      <rgbColor rgb="FF2B2E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"All-Period Amount"</c:f>
              <c:strCache>
                <c:ptCount val="1"/>
                <c:pt idx="0">
                  <c:v>All-Period Amount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Management_Dashboard!$F$14:$F$20</c:f>
              <c:strCache>
                <c:ptCount val="7"/>
                <c:pt idx="0">
                  <c:v>Payroll</c:v>
                </c:pt>
                <c:pt idx="1">
                  <c:v>Rent</c:v>
                </c:pt>
                <c:pt idx="2">
                  <c:v>Utilities</c:v>
                </c:pt>
                <c:pt idx="3">
                  <c:v>Advertising</c:v>
                </c:pt>
                <c:pt idx="4">
                  <c:v>Tax</c:v>
                </c:pt>
                <c:pt idx="5">
                  <c:v>COGS</c:v>
                </c:pt>
                <c:pt idx="6">
                  <c:v>Other OpEx</c:v>
                </c:pt>
              </c:strCache>
            </c:strRef>
          </c:cat>
          <c:val>
            <c:numRef>
              <c:f>Management_Dashboard!$G$14:$G$20</c:f>
              <c:numCache>
                <c:formatCode>#,##0.00;[Red]\(#,##0.00\);\-</c:formatCode>
                <c:ptCount val="7"/>
                <c:pt idx="0">
                  <c:v>41095.620000000003</c:v>
                </c:pt>
                <c:pt idx="1">
                  <c:v>110229.51000000001</c:v>
                </c:pt>
                <c:pt idx="2">
                  <c:v>13436.110000000002</c:v>
                </c:pt>
                <c:pt idx="3">
                  <c:v>6484.01</c:v>
                </c:pt>
                <c:pt idx="4">
                  <c:v>2245.9500000000003</c:v>
                </c:pt>
                <c:pt idx="5">
                  <c:v>4213.13</c:v>
                </c:pt>
                <c:pt idx="6">
                  <c:v>6461.81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A5-4DAE-98FD-8DCF06611D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4852881"/>
        <c:axId val="32490474"/>
      </c:barChart>
      <c:catAx>
        <c:axId val="94852881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32490474"/>
        <c:crosses val="autoZero"/>
        <c:auto val="1"/>
        <c:lblAlgn val="ctr"/>
        <c:lblOffset val="100"/>
        <c:noMultiLvlLbl val="0"/>
      </c:catAx>
      <c:valAx>
        <c:axId val="32490474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9485288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r>
              <a:rPr lang="en-US" sz="1800" b="1" strike="noStrike" spc="-1">
                <a:solidFill>
                  <a:srgbClr val="595959"/>
                </a:solidFill>
                <a:latin typeface="Calibri"/>
                <a:ea typeface="Calibri"/>
              </a:rPr>
              <a:t>Monthly Revenue and Net Operating Income</a:t>
            </a:r>
          </a:p>
        </c:rich>
      </c:tx>
      <c:layout>
        <c:manualLayout>
          <c:xMode val="edge"/>
          <c:yMode val="edge"/>
          <c:x val="0.15338526063511099"/>
          <c:y val="4.5166314384247397E-2"/>
        </c:manualLayout>
      </c:layout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"Revenue"</c:f>
              <c:strCache>
                <c:ptCount val="1"/>
                <c:pt idx="0">
                  <c:v>Revenue</c:v>
                </c:pt>
              </c:strCache>
            </c:strRef>
          </c:tx>
          <c:spPr>
            <a:ln w="28440" cap="rnd">
              <a:solidFill>
                <a:srgbClr val="4F81BD"/>
              </a:solidFill>
              <a:round/>
            </a:ln>
          </c:spPr>
          <c:marker>
            <c:symbol val="circle"/>
            <c:size val="5"/>
            <c:spPr>
              <a:solidFill>
                <a:srgbClr val="4F81BD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Management_Dashboard!$A$14:$A$44</c:f>
              <c:strCache>
                <c:ptCount val="31"/>
                <c:pt idx="0">
                  <c:v>2019-11</c:v>
                </c:pt>
                <c:pt idx="1">
                  <c:v>2019-12</c:v>
                </c:pt>
                <c:pt idx="2">
                  <c:v>2020-01</c:v>
                </c:pt>
                <c:pt idx="3">
                  <c:v>2020-02</c:v>
                </c:pt>
                <c:pt idx="4">
                  <c:v>2020-03</c:v>
                </c:pt>
                <c:pt idx="5">
                  <c:v>2020-06</c:v>
                </c:pt>
                <c:pt idx="6">
                  <c:v>2020-07</c:v>
                </c:pt>
                <c:pt idx="7">
                  <c:v>2020-08</c:v>
                </c:pt>
                <c:pt idx="8">
                  <c:v>2020-09</c:v>
                </c:pt>
                <c:pt idx="9">
                  <c:v>2020-10</c:v>
                </c:pt>
                <c:pt idx="10">
                  <c:v>2020-11</c:v>
                </c:pt>
                <c:pt idx="11">
                  <c:v>2020-12</c:v>
                </c:pt>
                <c:pt idx="12">
                  <c:v>2021-01</c:v>
                </c:pt>
                <c:pt idx="13">
                  <c:v>2021-02</c:v>
                </c:pt>
                <c:pt idx="14">
                  <c:v>2021-03</c:v>
                </c:pt>
                <c:pt idx="15">
                  <c:v>2021-04</c:v>
                </c:pt>
                <c:pt idx="16">
                  <c:v>2021-05</c:v>
                </c:pt>
                <c:pt idx="17">
                  <c:v>2021-06</c:v>
                </c:pt>
                <c:pt idx="18">
                  <c:v>2021-07</c:v>
                </c:pt>
                <c:pt idx="19">
                  <c:v>2021-08</c:v>
                </c:pt>
                <c:pt idx="20">
                  <c:v>2021-09</c:v>
                </c:pt>
                <c:pt idx="21">
                  <c:v>2021-10</c:v>
                </c:pt>
                <c:pt idx="22">
                  <c:v>2021-11</c:v>
                </c:pt>
                <c:pt idx="23">
                  <c:v>2021-12</c:v>
                </c:pt>
                <c:pt idx="24">
                  <c:v>2022-01</c:v>
                </c:pt>
                <c:pt idx="25">
                  <c:v>2022-02</c:v>
                </c:pt>
                <c:pt idx="26">
                  <c:v>2022-03</c:v>
                </c:pt>
                <c:pt idx="27">
                  <c:v>2022-04</c:v>
                </c:pt>
                <c:pt idx="28">
                  <c:v>2022-05</c:v>
                </c:pt>
                <c:pt idx="29">
                  <c:v>2022-06</c:v>
                </c:pt>
                <c:pt idx="30">
                  <c:v>2022-07</c:v>
                </c:pt>
              </c:strCache>
            </c:strRef>
          </c:cat>
          <c:val>
            <c:numRef>
              <c:f>Management_Dashboard!$B$14:$B$44</c:f>
              <c:numCache>
                <c:formatCode>\$#,##0.00</c:formatCode>
                <c:ptCount val="31"/>
                <c:pt idx="0">
                  <c:v>1800</c:v>
                </c:pt>
                <c:pt idx="1">
                  <c:v>2775</c:v>
                </c:pt>
                <c:pt idx="2">
                  <c:v>5475</c:v>
                </c:pt>
                <c:pt idx="3">
                  <c:v>4937.5</c:v>
                </c:pt>
                <c:pt idx="4">
                  <c:v>5268.75</c:v>
                </c:pt>
                <c:pt idx="5">
                  <c:v>5243.75</c:v>
                </c:pt>
                <c:pt idx="6">
                  <c:v>6550</c:v>
                </c:pt>
                <c:pt idx="7">
                  <c:v>6343.75</c:v>
                </c:pt>
                <c:pt idx="8">
                  <c:v>10837.5</c:v>
                </c:pt>
                <c:pt idx="9">
                  <c:v>8568.75</c:v>
                </c:pt>
                <c:pt idx="10">
                  <c:v>7443.75</c:v>
                </c:pt>
                <c:pt idx="11">
                  <c:v>8568.75</c:v>
                </c:pt>
                <c:pt idx="12">
                  <c:v>6631.25</c:v>
                </c:pt>
                <c:pt idx="13">
                  <c:v>6699.24</c:v>
                </c:pt>
                <c:pt idx="14">
                  <c:v>11406.87</c:v>
                </c:pt>
                <c:pt idx="15">
                  <c:v>12859.369999999999</c:v>
                </c:pt>
                <c:pt idx="16">
                  <c:v>10931.25</c:v>
                </c:pt>
                <c:pt idx="17">
                  <c:v>9301.25</c:v>
                </c:pt>
                <c:pt idx="18">
                  <c:v>7027.5</c:v>
                </c:pt>
                <c:pt idx="19">
                  <c:v>7800</c:v>
                </c:pt>
                <c:pt idx="20">
                  <c:v>11250</c:v>
                </c:pt>
                <c:pt idx="21">
                  <c:v>10962.5</c:v>
                </c:pt>
                <c:pt idx="22">
                  <c:v>12725</c:v>
                </c:pt>
                <c:pt idx="23">
                  <c:v>13297.869999999999</c:v>
                </c:pt>
                <c:pt idx="24">
                  <c:v>14067.5</c:v>
                </c:pt>
                <c:pt idx="25">
                  <c:v>13436.880000000001</c:v>
                </c:pt>
                <c:pt idx="26">
                  <c:v>14926.25</c:v>
                </c:pt>
                <c:pt idx="27">
                  <c:v>13636.25</c:v>
                </c:pt>
                <c:pt idx="28">
                  <c:v>13158.75</c:v>
                </c:pt>
                <c:pt idx="29">
                  <c:v>7418.75</c:v>
                </c:pt>
                <c:pt idx="30">
                  <c:v>3987.5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DA-419B-B752-510667511EEA}"/>
            </c:ext>
          </c:extLst>
        </c:ser>
        <c:ser>
          <c:idx val="1"/>
          <c:order val="1"/>
          <c:tx>
            <c:strRef>
              <c:f>"Net Operating Income"</c:f>
              <c:strCache>
                <c:ptCount val="1"/>
                <c:pt idx="0">
                  <c:v>Net Operating Income</c:v>
                </c:pt>
              </c:strCache>
            </c:strRef>
          </c:tx>
          <c:spPr>
            <a:ln w="28440" cap="rnd">
              <a:solidFill>
                <a:srgbClr val="C0504D"/>
              </a:solidFill>
              <a:round/>
            </a:ln>
          </c:spPr>
          <c:marker>
            <c:symbol val="circle"/>
            <c:size val="5"/>
            <c:spPr>
              <a:solidFill>
                <a:srgbClr val="C0504D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Management_Dashboard!$A$14:$A$44</c:f>
              <c:strCache>
                <c:ptCount val="31"/>
                <c:pt idx="0">
                  <c:v>2019-11</c:v>
                </c:pt>
                <c:pt idx="1">
                  <c:v>2019-12</c:v>
                </c:pt>
                <c:pt idx="2">
                  <c:v>2020-01</c:v>
                </c:pt>
                <c:pt idx="3">
                  <c:v>2020-02</c:v>
                </c:pt>
                <c:pt idx="4">
                  <c:v>2020-03</c:v>
                </c:pt>
                <c:pt idx="5">
                  <c:v>2020-06</c:v>
                </c:pt>
                <c:pt idx="6">
                  <c:v>2020-07</c:v>
                </c:pt>
                <c:pt idx="7">
                  <c:v>2020-08</c:v>
                </c:pt>
                <c:pt idx="8">
                  <c:v>2020-09</c:v>
                </c:pt>
                <c:pt idx="9">
                  <c:v>2020-10</c:v>
                </c:pt>
                <c:pt idx="10">
                  <c:v>2020-11</c:v>
                </c:pt>
                <c:pt idx="11">
                  <c:v>2020-12</c:v>
                </c:pt>
                <c:pt idx="12">
                  <c:v>2021-01</c:v>
                </c:pt>
                <c:pt idx="13">
                  <c:v>2021-02</c:v>
                </c:pt>
                <c:pt idx="14">
                  <c:v>2021-03</c:v>
                </c:pt>
                <c:pt idx="15">
                  <c:v>2021-04</c:v>
                </c:pt>
                <c:pt idx="16">
                  <c:v>2021-05</c:v>
                </c:pt>
                <c:pt idx="17">
                  <c:v>2021-06</c:v>
                </c:pt>
                <c:pt idx="18">
                  <c:v>2021-07</c:v>
                </c:pt>
                <c:pt idx="19">
                  <c:v>2021-08</c:v>
                </c:pt>
                <c:pt idx="20">
                  <c:v>2021-09</c:v>
                </c:pt>
                <c:pt idx="21">
                  <c:v>2021-10</c:v>
                </c:pt>
                <c:pt idx="22">
                  <c:v>2021-11</c:v>
                </c:pt>
                <c:pt idx="23">
                  <c:v>2021-12</c:v>
                </c:pt>
                <c:pt idx="24">
                  <c:v>2022-01</c:v>
                </c:pt>
                <c:pt idx="25">
                  <c:v>2022-02</c:v>
                </c:pt>
                <c:pt idx="26">
                  <c:v>2022-03</c:v>
                </c:pt>
                <c:pt idx="27">
                  <c:v>2022-04</c:v>
                </c:pt>
                <c:pt idx="28">
                  <c:v>2022-05</c:v>
                </c:pt>
                <c:pt idx="29">
                  <c:v>2022-06</c:v>
                </c:pt>
                <c:pt idx="30">
                  <c:v>2022-07</c:v>
                </c:pt>
              </c:strCache>
            </c:strRef>
          </c:cat>
          <c:val>
            <c:numRef>
              <c:f>Management_Dashboard!$C$14:$C$44</c:f>
              <c:numCache>
                <c:formatCode>\$#,##0.00</c:formatCode>
                <c:ptCount val="31"/>
                <c:pt idx="0">
                  <c:v>1237.4000000000001</c:v>
                </c:pt>
                <c:pt idx="1">
                  <c:v>-1163.52</c:v>
                </c:pt>
                <c:pt idx="2">
                  <c:v>1240.0100000000002</c:v>
                </c:pt>
                <c:pt idx="3">
                  <c:v>1030.5900000000001</c:v>
                </c:pt>
                <c:pt idx="4">
                  <c:v>205.84000000000015</c:v>
                </c:pt>
                <c:pt idx="5">
                  <c:v>1713.6100000000001</c:v>
                </c:pt>
                <c:pt idx="6">
                  <c:v>3500.8900000000003</c:v>
                </c:pt>
                <c:pt idx="7">
                  <c:v>2446.37</c:v>
                </c:pt>
                <c:pt idx="8">
                  <c:v>2820.13</c:v>
                </c:pt>
                <c:pt idx="9">
                  <c:v>4702.37</c:v>
                </c:pt>
                <c:pt idx="10">
                  <c:v>1951.9700000000003</c:v>
                </c:pt>
                <c:pt idx="11">
                  <c:v>2977.75</c:v>
                </c:pt>
                <c:pt idx="12">
                  <c:v>2693.7999999999997</c:v>
                </c:pt>
                <c:pt idx="13">
                  <c:v>265.64999999999964</c:v>
                </c:pt>
                <c:pt idx="14">
                  <c:v>3758.7200000000012</c:v>
                </c:pt>
                <c:pt idx="15">
                  <c:v>3549.1599999999989</c:v>
                </c:pt>
                <c:pt idx="16">
                  <c:v>2818.92</c:v>
                </c:pt>
                <c:pt idx="17">
                  <c:v>2407.8099999999995</c:v>
                </c:pt>
                <c:pt idx="18">
                  <c:v>488.31999999999971</c:v>
                </c:pt>
                <c:pt idx="19">
                  <c:v>276.38000000000011</c:v>
                </c:pt>
                <c:pt idx="20">
                  <c:v>2922.21</c:v>
                </c:pt>
                <c:pt idx="21">
                  <c:v>2398.38</c:v>
                </c:pt>
                <c:pt idx="22">
                  <c:v>6336.63</c:v>
                </c:pt>
                <c:pt idx="23">
                  <c:v>4152.51</c:v>
                </c:pt>
                <c:pt idx="24">
                  <c:v>7609.5</c:v>
                </c:pt>
                <c:pt idx="25">
                  <c:v>4282.3000000000011</c:v>
                </c:pt>
                <c:pt idx="26">
                  <c:v>6429.7999999999993</c:v>
                </c:pt>
                <c:pt idx="27">
                  <c:v>4310.1400000000012</c:v>
                </c:pt>
                <c:pt idx="28">
                  <c:v>4978.1699999999992</c:v>
                </c:pt>
                <c:pt idx="29">
                  <c:v>1566.4499999999998</c:v>
                </c:pt>
                <c:pt idx="30">
                  <c:v>1081.5999999999999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DA-419B-B752-510667511E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319969"/>
        <c:axId val="25370681"/>
      </c:lineChart>
      <c:catAx>
        <c:axId val="131996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endParaRPr lang="en-US"/>
          </a:p>
        </c:txPr>
        <c:crossAx val="25370681"/>
        <c:crosses val="autoZero"/>
        <c:auto val="1"/>
        <c:lblAlgn val="ctr"/>
        <c:lblOffset val="100"/>
        <c:noMultiLvlLbl val="0"/>
      </c:catAx>
      <c:valAx>
        <c:axId val="2537068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\$#,##0.0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  <a:ea typeface="Calibri"/>
              </a:defRPr>
            </a:pPr>
            <a:endParaRPr lang="en-US"/>
          </a:p>
        </c:txPr>
        <c:crossAx val="131996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Budget NOI vs. Actual NOI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Budget_vs_Actual!$H$4</c:f>
              <c:strCache>
                <c:ptCount val="1"/>
                <c:pt idx="0">
                  <c:v>Budget NOI</c:v>
                </c:pt>
              </c:strCache>
            </c:strRef>
          </c:tx>
          <c:spPr>
            <a:ln w="28575" cap="rnd">
              <a:solidFill>
                <a:srgbClr val="A6A6A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A6A6A6"/>
              </a:solidFill>
              <a:ln w="9525">
                <a:solidFill>
                  <a:srgbClr val="A6A6A6"/>
                </a:solidFill>
                <a:prstDash val="solid"/>
              </a:ln>
              <a:effectLst/>
            </c:spPr>
          </c:marker>
          <c:cat>
            <c:strRef>
              <c:f>Budget_vs_Actual!$A$5:$A$16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Budget_vs_Actual!$H$5:$H$16</c:f>
              <c:numCache>
                <c:formatCode>\$#,##0;[Red]"($"#,##0\);\-</c:formatCode>
                <c:ptCount val="12"/>
                <c:pt idx="0">
                  <c:v>1775</c:v>
                </c:pt>
                <c:pt idx="1">
                  <c:v>1131.25</c:v>
                </c:pt>
                <c:pt idx="2">
                  <c:v>1906.25</c:v>
                </c:pt>
                <c:pt idx="3">
                  <c:v>2762.5</c:v>
                </c:pt>
                <c:pt idx="4">
                  <c:v>2762.5</c:v>
                </c:pt>
                <c:pt idx="5">
                  <c:v>1543.75</c:v>
                </c:pt>
                <c:pt idx="6">
                  <c:v>987.5</c:v>
                </c:pt>
                <c:pt idx="7">
                  <c:v>937.5</c:v>
                </c:pt>
                <c:pt idx="8">
                  <c:v>3368.75</c:v>
                </c:pt>
                <c:pt idx="9">
                  <c:v>3468.75</c:v>
                </c:pt>
                <c:pt idx="10">
                  <c:v>4225</c:v>
                </c:pt>
                <c:pt idx="11">
                  <c:v>4781.25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7D-4A9F-A270-F0099B94A295}"/>
            </c:ext>
          </c:extLst>
        </c:ser>
        <c:ser>
          <c:idx val="1"/>
          <c:order val="1"/>
          <c:tx>
            <c:strRef>
              <c:f>Budget_vs_Actual!$I$4</c:f>
              <c:strCache>
                <c:ptCount val="1"/>
                <c:pt idx="0">
                  <c:v>Actual NOI</c:v>
                </c:pt>
              </c:strCache>
            </c:strRef>
          </c:tx>
          <c:spPr>
            <a:ln w="28575" cap="rnd">
              <a:solidFill>
                <a:srgbClr val="00206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002060"/>
              </a:solidFill>
              <a:ln w="9525">
                <a:solidFill>
                  <a:srgbClr val="002060"/>
                </a:solidFill>
                <a:prstDash val="solid"/>
              </a:ln>
              <a:effectLst/>
            </c:spPr>
          </c:marker>
          <c:cat>
            <c:strRef>
              <c:f>Budget_vs_Actual!$A$5:$A$16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Budget_vs_Actual!$I$5:$I$16</c:f>
              <c:numCache>
                <c:formatCode>\$#,##0;[Red]"($"#,##0\);\-</c:formatCode>
                <c:ptCount val="12"/>
                <c:pt idx="0">
                  <c:v>2693.8</c:v>
                </c:pt>
                <c:pt idx="1">
                  <c:v>265.64999999999998</c:v>
                </c:pt>
                <c:pt idx="2">
                  <c:v>3758.72</c:v>
                </c:pt>
                <c:pt idx="3">
                  <c:v>3549.16</c:v>
                </c:pt>
                <c:pt idx="4">
                  <c:v>2818.92</c:v>
                </c:pt>
                <c:pt idx="5">
                  <c:v>2407.81</c:v>
                </c:pt>
                <c:pt idx="6">
                  <c:v>488.32</c:v>
                </c:pt>
                <c:pt idx="7">
                  <c:v>276.38</c:v>
                </c:pt>
                <c:pt idx="8">
                  <c:v>2922.21</c:v>
                </c:pt>
                <c:pt idx="9">
                  <c:v>2398.38</c:v>
                </c:pt>
                <c:pt idx="10">
                  <c:v>6336.63</c:v>
                </c:pt>
                <c:pt idx="11">
                  <c:v>4152.51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A7D-4A9F-A270-F0099B94A2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4972808"/>
        <c:axId val="1384974856"/>
      </c:lineChart>
      <c:catAx>
        <c:axId val="1384972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974856"/>
        <c:crosses val="autoZero"/>
        <c:auto val="1"/>
        <c:lblAlgn val="ctr"/>
        <c:lblOffset val="100"/>
        <c:noMultiLvlLbl val="0"/>
      </c:catAx>
      <c:valAx>
        <c:axId val="1384974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;[Red]&quot;($&quot;#,##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972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19080</xdr:colOff>
      <xdr:row>22</xdr:row>
      <xdr:rowOff>38160</xdr:rowOff>
    </xdr:from>
    <xdr:to>
      <xdr:col>13</xdr:col>
      <xdr:colOff>416520</xdr:colOff>
      <xdr:row>39</xdr:row>
      <xdr:rowOff>45000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9525</xdr:colOff>
      <xdr:row>5</xdr:row>
      <xdr:rowOff>152400</xdr:rowOff>
    </xdr:from>
    <xdr:to>
      <xdr:col>13</xdr:col>
      <xdr:colOff>381000</xdr:colOff>
      <xdr:row>19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  <a:ext uri="{147F2762-F138-4A5C-976F-8EAC2B608ADB}">
              <a16:predDERef xmlns:a16="http://schemas.microsoft.com/office/drawing/2014/main" pre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561975</xdr:colOff>
      <xdr:row>2</xdr:row>
      <xdr:rowOff>180975</xdr:rowOff>
    </xdr:from>
    <xdr:to>
      <xdr:col>18</xdr:col>
      <xdr:colOff>561975</xdr:colOff>
      <xdr:row>17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EF62471-252D-FAAF-BC43-C799A4BC71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ourceMonthlyData" displayName="SourceMonthlyData" ref="A3:AG34" totalsRowShown="0">
  <tableColumns count="33">
    <tableColumn id="1" xr3:uid="{00000000-0010-0000-0000-000001000000}" name="Period"/>
    <tableColumn id="2" xr3:uid="{00000000-0010-0000-0000-000002000000}" name="Year"/>
    <tableColumn id="3" xr3:uid="{00000000-0010-0000-0000-000003000000}" name="Month"/>
    <tableColumn id="4" xr3:uid="{00000000-0010-0000-0000-000004000000}" name="Revenue - Choreography"/>
    <tableColumn id="5" xr3:uid="{00000000-0010-0000-0000-000005000000}" name="Revenue - Karate"/>
    <tableColumn id="6" xr3:uid="{00000000-0010-0000-0000-000006000000}" name="Revenue - Fitness"/>
    <tableColumn id="7" xr3:uid="{00000000-0010-0000-0000-000007000000}" name="Revenue - Gymnastics"/>
    <tableColumn id="8" xr3:uid="{00000000-0010-0000-0000-000008000000}" name="Revenue - Hall Rental Income"/>
    <tableColumn id="9" xr3:uid="{00000000-0010-0000-0000-000009000000}" name="Revenue - Utilities Reimbursement"/>
    <tableColumn id="10" xr3:uid="{00000000-0010-0000-0000-00000A000000}" name="Revenue - Merchandise and Supplies Sales"/>
    <tableColumn id="11" xr3:uid="{00000000-0010-0000-0000-00000B000000}" name="Revenue - Ballet Shoes"/>
    <tableColumn id="12" xr3:uid="{00000000-0010-0000-0000-00000C000000}" name="Revenue - Gymnastic Suits"/>
    <tableColumn id="13" xr3:uid="{00000000-0010-0000-0000-00000D000000}" name="Revenue - Merchandise - Other"/>
    <tableColumn id="14" xr3:uid="{00000000-0010-0000-0000-00000E000000}" name="Revenue - Event / Photo Revenue"/>
    <tableColumn id="15" xr3:uid="{00000000-0010-0000-0000-00000F000000}" name="Revenue - Other"/>
    <tableColumn id="16" xr3:uid="{00000000-0010-0000-0000-000010000000}" name="Total Revenue"/>
    <tableColumn id="17" xr3:uid="{00000000-0010-0000-0000-000011000000}" name="Expense - Payroll"/>
    <tableColumn id="18" xr3:uid="{00000000-0010-0000-0000-000012000000}" name="Expense - Rent"/>
    <tableColumn id="19" xr3:uid="{00000000-0010-0000-0000-000013000000}" name="Expense - Utilities"/>
    <tableColumn id="20" xr3:uid="{00000000-0010-0000-0000-000014000000}" name="Expense - Advertising"/>
    <tableColumn id="21" xr3:uid="{00000000-0010-0000-0000-000015000000}" name="Expense - Taxes"/>
    <tableColumn id="22" xr3:uid="{00000000-0010-0000-0000-000016000000}" name="Expense - Events and Competitions"/>
    <tableColumn id="23" xr3:uid="{00000000-0010-0000-0000-000017000000}" name="Expense - Class Supplies"/>
    <tableColumn id="24" xr3:uid="{00000000-0010-0000-0000-000018000000}" name="Expense - Gymnastic Suit Cost"/>
    <tableColumn id="25" xr3:uid="{00000000-0010-0000-0000-000019000000}" name="Expense - Ballet Shoe Cost"/>
    <tableColumn id="26" xr3:uid="{00000000-0010-0000-0000-00001A000000}" name="Equipment / Supplies Purchase"/>
    <tableColumn id="27" xr3:uid="{00000000-0010-0000-0000-00001B000000}" name="Expense - Other Operating Expense"/>
    <tableColumn id="28" xr3:uid="{00000000-0010-0000-0000-00001C000000}" name="Total Operating Expenses"/>
    <tableColumn id="29" xr3:uid="{00000000-0010-0000-0000-00001D000000}" name="Net Operating Cash Flow"/>
    <tableColumn id="30" xr3:uid="{00000000-0010-0000-0000-00001E000000}" name="Owner Contribution"/>
    <tableColumn id="31" xr3:uid="{00000000-0010-0000-0000-00001F000000}" name="Owner / Partner Distribution"/>
    <tableColumn id="32" xr3:uid="{00000000-0010-0000-0000-000020000000}" name="Distribution Notes"/>
    <tableColumn id="33" xr3:uid="{00000000-0010-0000-0000-000021000000}" name="Net Cash Movement Including Owner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32"/>
  <sheetViews>
    <sheetView topLeftCell="A18" zoomScaleNormal="100" workbookViewId="0">
      <selection activeCell="B15" sqref="B15"/>
    </sheetView>
  </sheetViews>
  <sheetFormatPr defaultColWidth="8.7109375" defaultRowHeight="15"/>
  <cols>
    <col min="1" max="1" width="3" style="1" customWidth="1"/>
    <col min="2" max="2" width="28" style="1" customWidth="1"/>
    <col min="3" max="3" width="50" style="1" customWidth="1"/>
    <col min="4" max="4" width="21.140625" style="1" customWidth="1"/>
    <col min="5" max="5" width="3" style="1" customWidth="1"/>
  </cols>
  <sheetData>
    <row r="2" spans="2:4" ht="43.5" customHeight="1">
      <c r="B2" s="263" t="s">
        <v>0</v>
      </c>
      <c r="C2" s="263"/>
      <c r="D2" s="263"/>
    </row>
    <row r="3" spans="2:4" ht="15.75" customHeight="1">
      <c r="B3" s="264" t="s">
        <v>1</v>
      </c>
      <c r="C3" s="264"/>
      <c r="D3" s="264"/>
    </row>
    <row r="4" spans="2:4" ht="7.5" customHeight="1"/>
    <row r="5" spans="2:4" ht="27.75" customHeight="1">
      <c r="B5" s="265" t="s">
        <v>2</v>
      </c>
      <c r="C5" s="265"/>
      <c r="D5" s="265"/>
    </row>
    <row r="6" spans="2:4" ht="39" customHeight="1">
      <c r="B6" s="2" t="s">
        <v>3</v>
      </c>
      <c r="C6" s="259" t="s">
        <v>4</v>
      </c>
      <c r="D6" s="259"/>
    </row>
    <row r="7" spans="2:4" ht="39.75" customHeight="1">
      <c r="B7" s="3" t="s">
        <v>5</v>
      </c>
      <c r="C7" s="260" t="s">
        <v>6</v>
      </c>
      <c r="D7" s="260"/>
    </row>
    <row r="8" spans="2:4" ht="32.25" customHeight="1">
      <c r="B8" s="2" t="s">
        <v>7</v>
      </c>
      <c r="C8" s="259" t="s">
        <v>8</v>
      </c>
      <c r="D8" s="259"/>
    </row>
    <row r="9" spans="2:4" ht="39.75" customHeight="1">
      <c r="B9" s="3" t="s">
        <v>9</v>
      </c>
      <c r="C9" s="260" t="s">
        <v>10</v>
      </c>
      <c r="D9" s="260"/>
    </row>
    <row r="10" spans="2:4" ht="12.75" customHeight="1"/>
    <row r="11" spans="2:4" ht="13.5" customHeight="1">
      <c r="B11" s="261" t="s">
        <v>11</v>
      </c>
      <c r="C11" s="261"/>
      <c r="D11" s="261"/>
    </row>
    <row r="12" spans="2:4" ht="29.25" customHeight="1">
      <c r="B12" s="257" t="s">
        <v>12</v>
      </c>
      <c r="C12" s="257"/>
      <c r="D12" s="257"/>
    </row>
    <row r="13" spans="2:4" ht="7.5" customHeight="1"/>
    <row r="14" spans="2:4" ht="25.5" customHeight="1">
      <c r="B14" s="4" t="s">
        <v>13</v>
      </c>
      <c r="C14" s="262" t="s">
        <v>14</v>
      </c>
      <c r="D14" s="262"/>
    </row>
    <row r="15" spans="2:4" ht="25.5" customHeight="1">
      <c r="B15" s="5" t="s">
        <v>15</v>
      </c>
      <c r="C15" s="255" t="s">
        <v>16</v>
      </c>
      <c r="D15" s="255"/>
    </row>
    <row r="16" spans="2:4" ht="25.5" customHeight="1">
      <c r="B16" s="6" t="s">
        <v>17</v>
      </c>
      <c r="C16" s="258" t="s">
        <v>18</v>
      </c>
      <c r="D16" s="258"/>
    </row>
    <row r="17" spans="2:4" ht="25.5" customHeight="1">
      <c r="B17" s="5" t="s">
        <v>19</v>
      </c>
      <c r="C17" s="255" t="s">
        <v>20</v>
      </c>
      <c r="D17" s="255"/>
    </row>
    <row r="18" spans="2:4" ht="25.5" customHeight="1">
      <c r="B18" s="6" t="s">
        <v>21</v>
      </c>
      <c r="C18" s="258" t="s">
        <v>22</v>
      </c>
      <c r="D18" s="258"/>
    </row>
    <row r="19" spans="2:4" ht="25.5" customHeight="1">
      <c r="B19" s="5" t="s">
        <v>23</v>
      </c>
      <c r="C19" s="255" t="s">
        <v>24</v>
      </c>
      <c r="D19" s="255"/>
    </row>
    <row r="20" spans="2:4" ht="25.5" customHeight="1">
      <c r="B20" s="6" t="s">
        <v>25</v>
      </c>
      <c r="C20" s="258" t="s">
        <v>26</v>
      </c>
      <c r="D20" s="258"/>
    </row>
    <row r="21" spans="2:4" ht="25.5" customHeight="1">
      <c r="B21" s="5" t="s">
        <v>27</v>
      </c>
      <c r="C21" s="255" t="s">
        <v>28</v>
      </c>
      <c r="D21" s="255"/>
    </row>
    <row r="22" spans="2:4" ht="25.5" customHeight="1">
      <c r="B22" s="6" t="s">
        <v>29</v>
      </c>
      <c r="C22" s="258" t="s">
        <v>30</v>
      </c>
      <c r="D22" s="258"/>
    </row>
    <row r="23" spans="2:4" ht="25.5" customHeight="1">
      <c r="B23" s="5" t="s">
        <v>31</v>
      </c>
      <c r="C23" s="255" t="s">
        <v>32</v>
      </c>
      <c r="D23" s="255"/>
    </row>
    <row r="24" spans="2:4" ht="25.5" customHeight="1">
      <c r="B24" s="6" t="s">
        <v>33</v>
      </c>
      <c r="C24" s="258" t="s">
        <v>34</v>
      </c>
      <c r="D24" s="258"/>
    </row>
    <row r="25" spans="2:4" ht="25.5" customHeight="1">
      <c r="B25" s="5" t="s">
        <v>35</v>
      </c>
      <c r="C25" s="255" t="s">
        <v>36</v>
      </c>
      <c r="D25" s="255"/>
    </row>
    <row r="26" spans="2:4" ht="18" customHeight="1">
      <c r="B26" s="256" t="s">
        <v>37</v>
      </c>
      <c r="C26" s="256"/>
      <c r="D26" s="256"/>
    </row>
    <row r="27" spans="2:4" ht="25.5" customHeight="1">
      <c r="B27" s="7" t="s">
        <v>38</v>
      </c>
      <c r="C27" s="8" t="s">
        <v>39</v>
      </c>
      <c r="D27" s="9" t="s">
        <v>40</v>
      </c>
    </row>
    <row r="28" spans="2:4" ht="25.5" customHeight="1">
      <c r="B28" s="7" t="s">
        <v>41</v>
      </c>
      <c r="C28" s="8" t="s">
        <v>42</v>
      </c>
      <c r="D28" s="9" t="s">
        <v>40</v>
      </c>
    </row>
    <row r="29" spans="2:4" ht="25.5" customHeight="1">
      <c r="B29" s="7" t="s">
        <v>43</v>
      </c>
      <c r="C29" s="8" t="s">
        <v>44</v>
      </c>
      <c r="D29" s="9" t="s">
        <v>40</v>
      </c>
    </row>
    <row r="30" spans="2:4" ht="25.5" customHeight="1">
      <c r="B30" s="10" t="s">
        <v>45</v>
      </c>
      <c r="C30" s="11" t="s">
        <v>46</v>
      </c>
      <c r="D30" s="12" t="s">
        <v>47</v>
      </c>
    </row>
    <row r="32" spans="2:4" ht="26.25" customHeight="1">
      <c r="B32" s="257" t="s">
        <v>48</v>
      </c>
      <c r="C32" s="257"/>
      <c r="D32" s="257"/>
    </row>
  </sheetData>
  <mergeCells count="23">
    <mergeCell ref="B2:D2"/>
    <mergeCell ref="B3:D3"/>
    <mergeCell ref="B5:D5"/>
    <mergeCell ref="C6:D6"/>
    <mergeCell ref="C7:D7"/>
    <mergeCell ref="C8:D8"/>
    <mergeCell ref="C9:D9"/>
    <mergeCell ref="B11:D11"/>
    <mergeCell ref="B12:D12"/>
    <mergeCell ref="C14:D14"/>
    <mergeCell ref="C15:D15"/>
    <mergeCell ref="C16:D16"/>
    <mergeCell ref="C17:D17"/>
    <mergeCell ref="C18:D18"/>
    <mergeCell ref="C19:D19"/>
    <mergeCell ref="C25:D25"/>
    <mergeCell ref="B26:D26"/>
    <mergeCell ref="B32:D32"/>
    <mergeCell ref="C20:D20"/>
    <mergeCell ref="C21:D21"/>
    <mergeCell ref="C22:D22"/>
    <mergeCell ref="C23:D23"/>
    <mergeCell ref="C24:D2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41"/>
  <sheetViews>
    <sheetView showGridLines="0" zoomScaleNormal="100" workbookViewId="0">
      <selection activeCell="B40" sqref="B40"/>
    </sheetView>
  </sheetViews>
  <sheetFormatPr defaultColWidth="8.7109375" defaultRowHeight="15"/>
  <cols>
    <col min="1" max="1" width="24" style="13" customWidth="1"/>
    <col min="2" max="2" width="22" style="13" customWidth="1"/>
    <col min="3" max="3" width="18.85546875" style="13" customWidth="1"/>
    <col min="4" max="4" width="12" style="13" customWidth="1"/>
    <col min="5" max="5" width="24.7109375" style="13" customWidth="1"/>
    <col min="6" max="6" width="28.7109375" style="13" customWidth="1"/>
    <col min="7" max="7" width="7.85546875" style="13" customWidth="1"/>
    <col min="8" max="8" width="14" style="13" customWidth="1"/>
    <col min="9" max="9" width="36" style="13" customWidth="1"/>
  </cols>
  <sheetData>
    <row r="1" spans="1:34" ht="25.5" customHeight="1">
      <c r="A1" s="272" t="s">
        <v>49</v>
      </c>
      <c r="B1" s="272"/>
      <c r="C1" s="272"/>
      <c r="D1" s="272"/>
      <c r="E1" s="272"/>
      <c r="F1" s="272"/>
      <c r="G1" s="272"/>
      <c r="H1" s="272"/>
      <c r="I1" s="272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</row>
    <row r="2" spans="1:34" ht="13.5" customHeight="1">
      <c r="A2" s="273" t="s">
        <v>50</v>
      </c>
      <c r="B2" s="273"/>
      <c r="C2" s="273"/>
      <c r="D2" s="273"/>
      <c r="E2" s="273"/>
      <c r="F2" s="273"/>
      <c r="G2" s="273"/>
      <c r="H2" s="273"/>
      <c r="I2" s="27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spans="1:34" ht="24.75" customHeight="1">
      <c r="A3" s="274" t="s">
        <v>51</v>
      </c>
      <c r="B3" s="274"/>
      <c r="C3" s="274"/>
      <c r="D3" s="274"/>
      <c r="E3" s="274"/>
      <c r="F3" s="274"/>
      <c r="G3" s="274"/>
      <c r="H3" s="274"/>
      <c r="I3" s="274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1:34" ht="21" customHeight="1">
      <c r="A4" s="275" t="s">
        <v>52</v>
      </c>
      <c r="B4" s="275"/>
      <c r="C4" s="275"/>
      <c r="E4" s="275" t="s">
        <v>53</v>
      </c>
      <c r="F4" s="275"/>
      <c r="H4" s="276" t="s">
        <v>54</v>
      </c>
      <c r="I4" s="276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spans="1:34" ht="24.75" customHeight="1">
      <c r="A5" s="15" t="s">
        <v>55</v>
      </c>
      <c r="B5" s="266" t="s">
        <v>56</v>
      </c>
      <c r="C5" s="266"/>
      <c r="D5" s="16"/>
      <c r="E5" s="17" t="s">
        <v>57</v>
      </c>
      <c r="F5" s="17" t="s">
        <v>58</v>
      </c>
      <c r="G5" s="16"/>
      <c r="H5" s="18" t="s">
        <v>59</v>
      </c>
      <c r="I5" s="19" t="s">
        <v>60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</row>
    <row r="6" spans="1:34" ht="24.75" customHeight="1">
      <c r="A6" s="20" t="s">
        <v>61</v>
      </c>
      <c r="B6" s="269" t="s">
        <v>62</v>
      </c>
      <c r="C6" s="269"/>
      <c r="D6" s="16"/>
      <c r="E6" s="20" t="s">
        <v>63</v>
      </c>
      <c r="F6" s="16" t="s">
        <v>64</v>
      </c>
      <c r="G6" s="16"/>
      <c r="H6" s="21" t="s">
        <v>65</v>
      </c>
      <c r="I6" s="235" t="s">
        <v>66</v>
      </c>
      <c r="J6" s="22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spans="1:34" ht="24.75" customHeight="1">
      <c r="A7" s="15" t="s">
        <v>67</v>
      </c>
      <c r="B7" s="266" t="s">
        <v>68</v>
      </c>
      <c r="C7" s="266"/>
      <c r="D7" s="16"/>
      <c r="E7" s="15" t="s">
        <v>69</v>
      </c>
      <c r="F7" s="234" t="s">
        <v>70</v>
      </c>
      <c r="G7" s="16"/>
      <c r="H7" s="18" t="s">
        <v>71</v>
      </c>
      <c r="I7" s="19" t="s">
        <v>72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</row>
    <row r="8" spans="1:34" ht="24.75" customHeight="1">
      <c r="A8" s="20" t="s">
        <v>73</v>
      </c>
      <c r="B8" s="269" t="s">
        <v>74</v>
      </c>
      <c r="C8" s="269"/>
      <c r="D8" s="16"/>
      <c r="E8" s="23" t="s">
        <v>75</v>
      </c>
      <c r="F8" s="23" t="s">
        <v>76</v>
      </c>
      <c r="G8" s="16"/>
      <c r="H8" s="21" t="s">
        <v>77</v>
      </c>
      <c r="I8" s="24" t="s">
        <v>78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</row>
    <row r="9" spans="1:34" ht="22.5" customHeight="1">
      <c r="A9" s="15" t="s">
        <v>79</v>
      </c>
      <c r="B9" s="266" t="s">
        <v>80</v>
      </c>
      <c r="C9" s="266"/>
      <c r="D9" s="16"/>
      <c r="E9" s="15" t="s">
        <v>81</v>
      </c>
      <c r="F9" s="25" t="s">
        <v>82</v>
      </c>
      <c r="G9" s="16"/>
      <c r="H9" s="18" t="s">
        <v>83</v>
      </c>
      <c r="I9" s="19" t="s">
        <v>84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</row>
    <row r="10" spans="1:34" ht="24.75" customHeight="1">
      <c r="A10" s="20" t="s">
        <v>85</v>
      </c>
      <c r="B10" s="269" t="s">
        <v>86</v>
      </c>
      <c r="C10" s="269"/>
      <c r="D10" s="16"/>
      <c r="E10" s="20" t="s">
        <v>87</v>
      </c>
      <c r="F10" s="16" t="s">
        <v>88</v>
      </c>
      <c r="G10" s="16"/>
      <c r="H10" s="21" t="s">
        <v>89</v>
      </c>
      <c r="I10" s="24" t="s">
        <v>90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</row>
    <row r="11" spans="1:34" ht="24.75" customHeight="1">
      <c r="A11" s="15" t="s">
        <v>91</v>
      </c>
      <c r="B11" s="266" t="s">
        <v>92</v>
      </c>
      <c r="C11" s="266"/>
      <c r="D11" s="16"/>
      <c r="E11" s="15" t="s">
        <v>93</v>
      </c>
      <c r="F11" s="25" t="s">
        <v>94</v>
      </c>
      <c r="G11" s="16"/>
      <c r="H11" s="18" t="s">
        <v>95</v>
      </c>
      <c r="I11" s="234" t="s">
        <v>96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</row>
    <row r="12" spans="1:34" ht="33.75" customHeight="1">
      <c r="A12" s="20" t="s">
        <v>47</v>
      </c>
      <c r="B12" s="269" t="s">
        <v>97</v>
      </c>
      <c r="C12" s="269"/>
      <c r="D12" s="16"/>
      <c r="E12" s="20" t="s">
        <v>98</v>
      </c>
      <c r="F12" s="235" t="s">
        <v>99</v>
      </c>
      <c r="G12" s="16"/>
      <c r="H12" s="21" t="s">
        <v>100</v>
      </c>
      <c r="I12" s="24" t="s">
        <v>101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</row>
    <row r="13" spans="1:34" ht="12.75" customHeight="1">
      <c r="A13" s="25"/>
      <c r="B13" s="25"/>
      <c r="C13" s="25"/>
      <c r="D13" s="25"/>
      <c r="E13" s="25"/>
      <c r="F13" s="25"/>
      <c r="G13" s="16"/>
      <c r="H13" s="18" t="s">
        <v>102</v>
      </c>
      <c r="I13" s="234" t="s">
        <v>103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</row>
    <row r="14" spans="1:34" ht="12.75" customHeight="1">
      <c r="A14" s="16"/>
      <c r="B14" s="16"/>
      <c r="C14" s="16"/>
      <c r="D14" s="16"/>
      <c r="E14" s="16"/>
      <c r="F14" s="16"/>
      <c r="G14" s="16"/>
      <c r="H14" s="21" t="s">
        <v>104</v>
      </c>
      <c r="I14" s="235" t="s">
        <v>105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</row>
    <row r="15" spans="1:34" ht="12.75" customHeight="1">
      <c r="A15" s="25"/>
      <c r="B15" s="25"/>
      <c r="C15" s="25"/>
      <c r="D15" s="25"/>
      <c r="E15" s="25"/>
      <c r="F15" s="25"/>
      <c r="G15" s="16"/>
      <c r="H15" s="18" t="s">
        <v>106</v>
      </c>
      <c r="I15" s="234" t="s">
        <v>107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</row>
    <row r="16" spans="1:34" ht="24.75" customHeight="1">
      <c r="A16" s="16"/>
      <c r="B16" s="16"/>
      <c r="C16" s="16"/>
      <c r="D16" s="16"/>
      <c r="E16" s="16"/>
      <c r="F16" s="16"/>
      <c r="G16" s="16"/>
      <c r="H16" s="21" t="s">
        <v>108</v>
      </c>
      <c r="I16" s="235" t="s">
        <v>109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</row>
    <row r="17" spans="1:9" ht="7.5" customHeight="1"/>
    <row r="18" spans="1:9" ht="15.75" customHeight="1">
      <c r="A18" s="270" t="s">
        <v>110</v>
      </c>
      <c r="B18" s="270"/>
      <c r="C18" s="270"/>
      <c r="D18" s="270"/>
      <c r="E18" s="270"/>
      <c r="F18" s="270"/>
      <c r="G18" s="270"/>
      <c r="H18" s="270"/>
      <c r="I18" s="270"/>
    </row>
    <row r="19" spans="1:9" ht="34.5" customHeight="1">
      <c r="A19" s="26" t="s">
        <v>111</v>
      </c>
      <c r="B19" s="26" t="s">
        <v>112</v>
      </c>
      <c r="C19" s="26" t="s">
        <v>113</v>
      </c>
      <c r="D19" s="26" t="s">
        <v>114</v>
      </c>
      <c r="E19" s="26" t="s">
        <v>115</v>
      </c>
      <c r="F19" s="26" t="s">
        <v>116</v>
      </c>
      <c r="G19" s="26" t="s">
        <v>117</v>
      </c>
      <c r="H19" s="26" t="s">
        <v>118</v>
      </c>
      <c r="I19" s="26" t="s">
        <v>119</v>
      </c>
    </row>
    <row r="20" spans="1:9" ht="24" customHeight="1">
      <c r="A20" s="27" t="s">
        <v>120</v>
      </c>
      <c r="B20" s="28">
        <v>3</v>
      </c>
      <c r="C20" s="28">
        <v>15</v>
      </c>
      <c r="D20" s="28">
        <v>45</v>
      </c>
      <c r="E20" s="28">
        <v>3</v>
      </c>
      <c r="F20" s="28">
        <v>36</v>
      </c>
      <c r="G20" s="28" t="s">
        <v>121</v>
      </c>
      <c r="H20" s="28" t="s">
        <v>122</v>
      </c>
      <c r="I20" s="234" t="s">
        <v>123</v>
      </c>
    </row>
    <row r="21" spans="1:9" ht="19.5" customHeight="1">
      <c r="A21" s="29" t="s">
        <v>124</v>
      </c>
      <c r="B21" s="30">
        <v>2</v>
      </c>
      <c r="C21" s="30">
        <v>10</v>
      </c>
      <c r="D21" s="30">
        <v>20</v>
      </c>
      <c r="E21" s="30">
        <v>2</v>
      </c>
      <c r="F21" s="30">
        <v>16</v>
      </c>
      <c r="G21" s="30" t="s">
        <v>125</v>
      </c>
      <c r="H21" s="30" t="s">
        <v>126</v>
      </c>
      <c r="I21" s="16" t="s">
        <v>127</v>
      </c>
    </row>
    <row r="22" spans="1:9" ht="28.5" customHeight="1">
      <c r="A22" s="27" t="s">
        <v>128</v>
      </c>
      <c r="B22" s="28">
        <v>2</v>
      </c>
      <c r="C22" s="28">
        <v>15</v>
      </c>
      <c r="D22" s="28">
        <v>30</v>
      </c>
      <c r="E22" s="28">
        <v>3</v>
      </c>
      <c r="F22" s="28">
        <v>24</v>
      </c>
      <c r="G22" s="28" t="s">
        <v>121</v>
      </c>
      <c r="H22" s="28" t="s">
        <v>122</v>
      </c>
      <c r="I22" s="234" t="s">
        <v>129</v>
      </c>
    </row>
    <row r="23" spans="1:9" ht="19.5" customHeight="1">
      <c r="A23" s="29" t="s">
        <v>130</v>
      </c>
      <c r="B23" s="31">
        <v>1</v>
      </c>
      <c r="C23" s="31">
        <v>12</v>
      </c>
      <c r="D23" s="31">
        <v>12</v>
      </c>
      <c r="E23" s="31">
        <v>2</v>
      </c>
      <c r="F23" s="31">
        <v>8</v>
      </c>
      <c r="G23" s="31" t="s">
        <v>121</v>
      </c>
      <c r="H23" s="31" t="s">
        <v>131</v>
      </c>
      <c r="I23" s="21" t="s">
        <v>132</v>
      </c>
    </row>
    <row r="24" spans="1:9" ht="19.5" customHeight="1">
      <c r="A24" s="27" t="s">
        <v>133</v>
      </c>
      <c r="B24" s="28" t="s">
        <v>134</v>
      </c>
      <c r="C24" s="28" t="s">
        <v>134</v>
      </c>
      <c r="D24" s="28" t="s">
        <v>134</v>
      </c>
      <c r="E24" s="28" t="s">
        <v>134</v>
      </c>
      <c r="F24" s="28" t="s">
        <v>134</v>
      </c>
      <c r="G24" s="28" t="s">
        <v>135</v>
      </c>
      <c r="H24" s="28" t="s">
        <v>134</v>
      </c>
      <c r="I24" s="25" t="s">
        <v>136</v>
      </c>
    </row>
    <row r="25" spans="1:9" ht="7.5" customHeight="1"/>
    <row r="26" spans="1:9" ht="15.75" customHeight="1">
      <c r="A26" s="271" t="s">
        <v>137</v>
      </c>
      <c r="B26" s="271"/>
      <c r="C26" s="271"/>
      <c r="D26" s="271"/>
      <c r="E26" s="271"/>
      <c r="F26" s="32"/>
      <c r="G26" s="32"/>
      <c r="H26" s="32"/>
      <c r="I26" s="33"/>
    </row>
    <row r="27" spans="1:9" ht="27" customHeight="1">
      <c r="A27" s="26" t="s">
        <v>138</v>
      </c>
      <c r="B27" s="26" t="s">
        <v>139</v>
      </c>
      <c r="C27" s="26" t="s">
        <v>140</v>
      </c>
      <c r="D27" s="26" t="s">
        <v>141</v>
      </c>
      <c r="E27" s="34" t="s">
        <v>119</v>
      </c>
      <c r="F27" s="35"/>
      <c r="G27" s="36"/>
      <c r="H27" s="36"/>
    </row>
    <row r="28" spans="1:9" ht="28.5" customHeight="1">
      <c r="A28" s="27" t="s">
        <v>142</v>
      </c>
      <c r="B28" s="234" t="s">
        <v>143</v>
      </c>
      <c r="C28" s="37">
        <v>3646</v>
      </c>
      <c r="D28" s="38" t="s">
        <v>144</v>
      </c>
      <c r="E28" s="39" t="s">
        <v>145</v>
      </c>
      <c r="F28" s="40"/>
      <c r="G28" s="41"/>
      <c r="H28" s="41"/>
    </row>
    <row r="29" spans="1:9" ht="27.75" customHeight="1">
      <c r="A29" s="29" t="s">
        <v>146</v>
      </c>
      <c r="B29" s="235" t="s">
        <v>147</v>
      </c>
      <c r="C29" s="42">
        <v>522</v>
      </c>
      <c r="D29" s="43" t="s">
        <v>148</v>
      </c>
      <c r="E29" s="44" t="s">
        <v>149</v>
      </c>
      <c r="F29" s="40"/>
      <c r="G29" s="41"/>
      <c r="H29" s="41"/>
    </row>
    <row r="30" spans="1:9" ht="21.75" customHeight="1">
      <c r="A30" s="27" t="s">
        <v>150</v>
      </c>
      <c r="B30" s="234" t="s">
        <v>151</v>
      </c>
      <c r="C30" s="37">
        <v>724</v>
      </c>
      <c r="D30" s="234" t="s">
        <v>152</v>
      </c>
      <c r="E30" s="45" t="s">
        <v>153</v>
      </c>
      <c r="F30" s="40"/>
      <c r="G30" s="41"/>
      <c r="H30" s="41"/>
    </row>
    <row r="31" spans="1:9" ht="21.75" customHeight="1">
      <c r="A31" s="29" t="s">
        <v>154</v>
      </c>
      <c r="B31" s="235" t="s">
        <v>155</v>
      </c>
      <c r="C31" s="42">
        <v>2750</v>
      </c>
      <c r="D31" s="235" t="s">
        <v>156</v>
      </c>
      <c r="E31" s="44" t="s">
        <v>157</v>
      </c>
      <c r="F31" s="40"/>
      <c r="G31" s="41"/>
      <c r="H31" s="41"/>
    </row>
    <row r="32" spans="1:9" ht="21.75" customHeight="1">
      <c r="A32" s="27" t="s">
        <v>158</v>
      </c>
      <c r="B32" s="234" t="s">
        <v>159</v>
      </c>
      <c r="C32" s="37">
        <v>704</v>
      </c>
      <c r="D32" s="234" t="s">
        <v>152</v>
      </c>
      <c r="E32" s="45" t="s">
        <v>160</v>
      </c>
      <c r="F32" s="40"/>
      <c r="G32" s="41"/>
      <c r="H32" s="41"/>
    </row>
    <row r="33" spans="1:9" ht="21.75" customHeight="1">
      <c r="A33" s="27" t="s">
        <v>161</v>
      </c>
      <c r="B33" s="46"/>
      <c r="C33" s="47">
        <f>SUM(C28:C32)</f>
        <v>8346</v>
      </c>
      <c r="D33" s="48"/>
      <c r="E33" s="49" t="s">
        <v>162</v>
      </c>
      <c r="F33" s="50"/>
      <c r="G33" s="51"/>
      <c r="H33" s="51"/>
    </row>
    <row r="34" spans="1:9" ht="7.5" customHeight="1"/>
    <row r="35" spans="1:9" ht="15.75" customHeight="1">
      <c r="A35" s="268" t="s">
        <v>163</v>
      </c>
      <c r="B35" s="268"/>
      <c r="C35" s="268"/>
      <c r="D35" s="268"/>
      <c r="E35" s="268"/>
      <c r="F35" s="268"/>
      <c r="G35" s="268"/>
      <c r="H35" s="268"/>
      <c r="I35" s="268"/>
    </row>
    <row r="36" spans="1:9" ht="31.5" customHeight="1">
      <c r="A36" s="52" t="s">
        <v>164</v>
      </c>
      <c r="B36" s="266" t="s">
        <v>165</v>
      </c>
      <c r="C36" s="266"/>
      <c r="D36" s="266"/>
      <c r="E36" s="266"/>
      <c r="F36" s="266"/>
      <c r="G36" s="266"/>
      <c r="H36" s="266"/>
      <c r="I36" s="266"/>
    </row>
    <row r="37" spans="1:9" ht="31.5" customHeight="1">
      <c r="A37" s="53" t="s">
        <v>166</v>
      </c>
      <c r="B37" s="269" t="s">
        <v>167</v>
      </c>
      <c r="C37" s="269"/>
      <c r="D37" s="269"/>
      <c r="E37" s="269"/>
      <c r="F37" s="269"/>
      <c r="G37" s="269"/>
      <c r="H37" s="269"/>
      <c r="I37" s="269"/>
    </row>
    <row r="38" spans="1:9" ht="31.5" customHeight="1">
      <c r="A38" s="52" t="s">
        <v>168</v>
      </c>
      <c r="B38" s="266" t="s">
        <v>169</v>
      </c>
      <c r="C38" s="266"/>
      <c r="D38" s="266"/>
      <c r="E38" s="266"/>
      <c r="F38" s="266"/>
      <c r="G38" s="266"/>
      <c r="H38" s="266"/>
      <c r="I38" s="266"/>
    </row>
    <row r="39" spans="1:9" ht="31.5" customHeight="1">
      <c r="A39" s="53" t="s">
        <v>170</v>
      </c>
      <c r="B39" s="269" t="s">
        <v>171</v>
      </c>
      <c r="C39" s="269"/>
      <c r="D39" s="269"/>
      <c r="E39" s="269"/>
      <c r="F39" s="269"/>
      <c r="G39" s="269"/>
      <c r="H39" s="269"/>
      <c r="I39" s="269"/>
    </row>
    <row r="40" spans="1:9" ht="31.5" customHeight="1">
      <c r="A40" s="52" t="s">
        <v>172</v>
      </c>
      <c r="B40" s="266" t="s">
        <v>173</v>
      </c>
      <c r="C40" s="266"/>
      <c r="D40" s="266"/>
      <c r="E40" s="266"/>
      <c r="F40" s="266"/>
      <c r="G40" s="266"/>
      <c r="H40" s="266"/>
      <c r="I40" s="266"/>
    </row>
    <row r="41" spans="1:9" ht="15.75" customHeight="1">
      <c r="A41" s="267"/>
      <c r="B41" s="267"/>
      <c r="C41" s="267"/>
      <c r="D41" s="267"/>
      <c r="E41" s="267"/>
      <c r="F41" s="267"/>
      <c r="G41" s="267"/>
      <c r="H41" s="267"/>
      <c r="I41" s="267"/>
    </row>
  </sheetData>
  <mergeCells count="23">
    <mergeCell ref="A1:I1"/>
    <mergeCell ref="A2:I2"/>
    <mergeCell ref="A3:I3"/>
    <mergeCell ref="A4:C4"/>
    <mergeCell ref="E4:F4"/>
    <mergeCell ref="H4:I4"/>
    <mergeCell ref="B5:C5"/>
    <mergeCell ref="B6:C6"/>
    <mergeCell ref="B7:C7"/>
    <mergeCell ref="B8:C8"/>
    <mergeCell ref="B9:C9"/>
    <mergeCell ref="B10:C10"/>
    <mergeCell ref="B11:C11"/>
    <mergeCell ref="B12:C12"/>
    <mergeCell ref="A18:I18"/>
    <mergeCell ref="A26:E26"/>
    <mergeCell ref="B40:I40"/>
    <mergeCell ref="A41:I41"/>
    <mergeCell ref="A35:I35"/>
    <mergeCell ref="B36:I36"/>
    <mergeCell ref="B37:I37"/>
    <mergeCell ref="B38:I38"/>
    <mergeCell ref="B39:I39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8"/>
  <sheetViews>
    <sheetView zoomScaleNormal="100" workbookViewId="0">
      <selection activeCell="G48" sqref="G48"/>
    </sheetView>
  </sheetViews>
  <sheetFormatPr defaultColWidth="8.7109375" defaultRowHeight="15"/>
  <cols>
    <col min="1" max="1" width="18.42578125" style="13" customWidth="1"/>
    <col min="2" max="2" width="14" style="13" customWidth="1"/>
    <col min="3" max="3" width="18" style="13" customWidth="1"/>
    <col min="4" max="4" width="14" style="1" customWidth="1"/>
    <col min="6" max="6" width="16" style="1" customWidth="1"/>
    <col min="7" max="7" width="21.140625" style="1" customWidth="1"/>
    <col min="8" max="14" width="16" style="13" customWidth="1"/>
  </cols>
  <sheetData>
    <row r="1" spans="1:14" ht="15" customHeight="1">
      <c r="A1" s="277" t="s">
        <v>174</v>
      </c>
      <c r="B1" s="277"/>
      <c r="C1" s="277"/>
      <c r="D1" s="277"/>
      <c r="E1" s="277"/>
      <c r="F1" s="277"/>
      <c r="G1" s="277"/>
      <c r="H1" s="277"/>
      <c r="I1" s="277"/>
      <c r="J1" s="277"/>
      <c r="K1" s="277"/>
      <c r="L1" s="277"/>
      <c r="M1" s="277"/>
      <c r="N1" s="277"/>
    </row>
    <row r="2" spans="1:14" ht="27.75" customHeight="1">
      <c r="A2" s="278" t="s">
        <v>175</v>
      </c>
      <c r="B2" s="278"/>
      <c r="C2" s="278"/>
      <c r="D2" s="278"/>
      <c r="E2" s="278"/>
      <c r="F2" s="278"/>
      <c r="G2" s="278"/>
      <c r="H2" s="278"/>
      <c r="I2" s="278"/>
      <c r="J2" s="278"/>
      <c r="K2" s="278"/>
      <c r="L2" s="278"/>
      <c r="M2" s="278"/>
      <c r="N2" s="278"/>
    </row>
    <row r="4" spans="1:14" ht="15" customHeight="1">
      <c r="A4" s="54" t="s">
        <v>176</v>
      </c>
      <c r="B4" s="54" t="s">
        <v>177</v>
      </c>
      <c r="C4" s="54" t="s">
        <v>178</v>
      </c>
      <c r="E4" s="1"/>
    </row>
    <row r="5" spans="1:14" ht="15" customHeight="1">
      <c r="A5" s="13" t="s">
        <v>179</v>
      </c>
      <c r="B5" s="55">
        <f>'Monthly_P&amp;L'!AH26</f>
        <v>275336.48</v>
      </c>
      <c r="C5" s="56" t="s">
        <v>180</v>
      </c>
      <c r="E5" s="1"/>
    </row>
    <row r="6" spans="1:14" ht="15" customHeight="1">
      <c r="A6" s="13" t="s">
        <v>181</v>
      </c>
      <c r="B6" s="55">
        <f>'Monthly_P&amp;L'!AH48</f>
        <v>84989.859999999957</v>
      </c>
      <c r="C6" s="13" t="s">
        <v>182</v>
      </c>
      <c r="E6" s="1"/>
    </row>
    <row r="7" spans="1:14" ht="29.25" customHeight="1">
      <c r="A7" s="57" t="s">
        <v>183</v>
      </c>
      <c r="B7" s="58">
        <f>'Monthly_P&amp;L'!AH54</f>
        <v>0.3086763512048965</v>
      </c>
      <c r="C7" s="13" t="s">
        <v>184</v>
      </c>
      <c r="E7" s="1"/>
    </row>
    <row r="8" spans="1:14" ht="15" customHeight="1">
      <c r="A8" s="13" t="s">
        <v>185</v>
      </c>
      <c r="B8" s="55">
        <f>Annual_KPIs!D16</f>
        <v>120892.09999999999</v>
      </c>
      <c r="C8" s="13" t="s">
        <v>186</v>
      </c>
      <c r="E8" s="1"/>
    </row>
    <row r="9" spans="1:14" ht="28.5" customHeight="1">
      <c r="A9" s="56" t="s">
        <v>187</v>
      </c>
      <c r="B9" s="55">
        <f>Annual_KPIs!E37</f>
        <v>11518.84</v>
      </c>
      <c r="C9" s="13" t="s">
        <v>188</v>
      </c>
      <c r="E9" s="1"/>
    </row>
    <row r="10" spans="1:14" ht="32.25" customHeight="1">
      <c r="A10" s="56" t="s">
        <v>189</v>
      </c>
      <c r="B10" s="55">
        <f>Management_Financials!F21</f>
        <v>35018.109999999971</v>
      </c>
      <c r="C10" s="13" t="s">
        <v>190</v>
      </c>
      <c r="E10" s="1"/>
    </row>
    <row r="13" spans="1:14" ht="15" customHeight="1">
      <c r="A13" s="54" t="s">
        <v>191</v>
      </c>
      <c r="B13" s="54" t="s">
        <v>192</v>
      </c>
      <c r="C13" s="54" t="s">
        <v>193</v>
      </c>
      <c r="D13" s="54" t="s">
        <v>194</v>
      </c>
      <c r="E13" s="1"/>
      <c r="F13" s="54" t="s">
        <v>195</v>
      </c>
      <c r="G13" s="54" t="s">
        <v>196</v>
      </c>
    </row>
    <row r="14" spans="1:14" ht="15" customHeight="1">
      <c r="A14" s="59" t="s">
        <v>197</v>
      </c>
      <c r="B14" s="60">
        <f>INDEX('Monthly_P&amp;L'!$C$26:$AG$26,1,MATCH($A14,'Monthly_P&amp;L'!$C$3:$AG$3,0))</f>
        <v>1800</v>
      </c>
      <c r="C14" s="60">
        <f>INDEX('Monthly_P&amp;L'!$C$48:$AG$48,1,MATCH($A14,'Monthly_P&amp;L'!$C$3:$AG$3,0))</f>
        <v>1237.4000000000001</v>
      </c>
      <c r="D14" s="58">
        <f>IF(B14&lt;&gt;0,C14/B14,"")</f>
        <v>0.68744444444444452</v>
      </c>
      <c r="E14" s="1"/>
      <c r="F14" s="13" t="s">
        <v>198</v>
      </c>
      <c r="G14" s="55">
        <f>'Monthly_P&amp;L'!AH34</f>
        <v>41095.620000000003</v>
      </c>
    </row>
    <row r="15" spans="1:14" ht="15" customHeight="1">
      <c r="A15" s="59" t="s">
        <v>199</v>
      </c>
      <c r="B15" s="60">
        <f>INDEX('Monthly_P&amp;L'!$C$26:$AG$26,1,MATCH($A15,'Monthly_P&amp;L'!$C$3:$AG$3,0))</f>
        <v>2775</v>
      </c>
      <c r="C15" s="60">
        <f>INDEX('Monthly_P&amp;L'!$C$48:$AG$48,1,MATCH($A15,'Monthly_P&amp;L'!$C$3:$AG$3,0))</f>
        <v>-1163.52</v>
      </c>
      <c r="D15" s="58">
        <f>IF(B15&lt;&gt;0,C15/B15,"")</f>
        <v>-0.41928648648648648</v>
      </c>
      <c r="E15" s="1"/>
      <c r="F15" s="13" t="s">
        <v>200</v>
      </c>
      <c r="G15" s="55">
        <f>'Monthly_P&amp;L'!AH40</f>
        <v>110229.51000000001</v>
      </c>
    </row>
    <row r="16" spans="1:14" ht="15" customHeight="1">
      <c r="A16" s="59" t="s">
        <v>201</v>
      </c>
      <c r="B16" s="60">
        <f>INDEX('Monthly_P&amp;L'!$C$26:$AG$26,1,MATCH($A16,'Monthly_P&amp;L'!$C$3:$AG$3,0))</f>
        <v>5475</v>
      </c>
      <c r="C16" s="60">
        <f>INDEX('Monthly_P&amp;L'!$C$48:$AG$48,1,MATCH($A16,'Monthly_P&amp;L'!$C$3:$AG$3,0))</f>
        <v>1240.0100000000002</v>
      </c>
      <c r="D16" s="58">
        <f>IF(B16&lt;&gt;0,C16/B16,"")</f>
        <v>0.22648584474885849</v>
      </c>
      <c r="E16" s="1"/>
      <c r="F16" s="13" t="s">
        <v>202</v>
      </c>
      <c r="G16" s="55">
        <f>'Monthly_P&amp;L'!AH41</f>
        <v>13436.110000000002</v>
      </c>
    </row>
    <row r="17" spans="1:7" ht="15" customHeight="1">
      <c r="A17" s="59" t="s">
        <v>203</v>
      </c>
      <c r="B17" s="60">
        <f>INDEX('Monthly_P&amp;L'!$C$26:$AG$26,1,MATCH($A17,'Monthly_P&amp;L'!$C$3:$AG$3,0))</f>
        <v>4937.5</v>
      </c>
      <c r="C17" s="60">
        <f>INDEX('Monthly_P&amp;L'!$C$48:$AG$48,1,MATCH($A17,'Monthly_P&amp;L'!$C$3:$AG$3,0))</f>
        <v>1030.5900000000001</v>
      </c>
      <c r="D17" s="58">
        <f>IF(B17&lt;&gt;0,C17/B17,"")</f>
        <v>0.20872708860759498</v>
      </c>
      <c r="E17" s="1"/>
      <c r="F17" s="13" t="s">
        <v>150</v>
      </c>
      <c r="G17" s="55">
        <f>'Monthly_P&amp;L'!AH42</f>
        <v>6484.01</v>
      </c>
    </row>
    <row r="18" spans="1:7" ht="15" customHeight="1">
      <c r="A18" s="59" t="s">
        <v>204</v>
      </c>
      <c r="B18" s="60">
        <f>INDEX('Monthly_P&amp;L'!$C$26:$AG$26,1,MATCH($A18,'Monthly_P&amp;L'!$C$3:$AG$3,0))</f>
        <v>5268.75</v>
      </c>
      <c r="C18" s="60">
        <f>INDEX('Monthly_P&amp;L'!$C$48:$AG$48,1,MATCH($A18,'Monthly_P&amp;L'!$C$3:$AG$3,0))</f>
        <v>205.84000000000015</v>
      </c>
      <c r="D18" s="58">
        <f>IF(B18&lt;&gt;0,C18/B18,"")</f>
        <v>3.9068090154211178E-2</v>
      </c>
      <c r="E18" s="1"/>
      <c r="F18" s="13" t="s">
        <v>205</v>
      </c>
      <c r="G18" s="55">
        <f>'Monthly_P&amp;L'!AH43</f>
        <v>2245.9500000000003</v>
      </c>
    </row>
    <row r="19" spans="1:7" ht="15" customHeight="1">
      <c r="A19" s="59" t="s">
        <v>206</v>
      </c>
      <c r="B19" s="60">
        <f>INDEX('Monthly_P&amp;L'!$C$26:$AG$26,1,MATCH($A19,'Monthly_P&amp;L'!$C$3:$AG$3,0))</f>
        <v>5243.75</v>
      </c>
      <c r="C19" s="60">
        <f>INDEX('Monthly_P&amp;L'!$C$48:$AG$48,1,MATCH($A19,'Monthly_P&amp;L'!$C$3:$AG$3,0))</f>
        <v>1713.6100000000001</v>
      </c>
      <c r="D19" s="58">
        <f>IF(B19&lt;&gt;0,C19/B19,"")</f>
        <v>0.32679094159713945</v>
      </c>
      <c r="E19" s="1"/>
      <c r="F19" s="13" t="s">
        <v>207</v>
      </c>
      <c r="G19" s="55">
        <f>'Monthly_P&amp;L'!AH31</f>
        <v>4213.13</v>
      </c>
    </row>
    <row r="20" spans="1:7" ht="15" customHeight="1">
      <c r="A20" s="59" t="s">
        <v>208</v>
      </c>
      <c r="B20" s="60">
        <f>INDEX('Monthly_P&amp;L'!$C$26:$AG$26,1,MATCH($A20,'Monthly_P&amp;L'!$C$3:$AG$3,0))</f>
        <v>6550</v>
      </c>
      <c r="C20" s="60">
        <f>INDEX('Monthly_P&amp;L'!$C$48:$AG$48,1,MATCH($A20,'Monthly_P&amp;L'!$C$3:$AG$3,0))</f>
        <v>3500.8900000000003</v>
      </c>
      <c r="D20" s="58">
        <f>IF(B20&lt;&gt;0,C20/B20,"")</f>
        <v>0.53448702290076344</v>
      </c>
      <c r="E20" s="1"/>
      <c r="F20" s="13" t="s">
        <v>209</v>
      </c>
      <c r="G20" s="55">
        <f>'Monthly_P&amp;L'!AH45</f>
        <v>6461.81</v>
      </c>
    </row>
    <row r="21" spans="1:7" ht="15" customHeight="1">
      <c r="A21" s="59" t="s">
        <v>210</v>
      </c>
      <c r="B21" s="60">
        <f>INDEX('Monthly_P&amp;L'!$C$26:$AG$26,1,MATCH($A21,'Monthly_P&amp;L'!$C$3:$AG$3,0))</f>
        <v>6343.75</v>
      </c>
      <c r="C21" s="60">
        <f>INDEX('Monthly_P&amp;L'!$C$48:$AG$48,1,MATCH($A21,'Monthly_P&amp;L'!$C$3:$AG$3,0))</f>
        <v>2446.37</v>
      </c>
      <c r="D21" s="58">
        <f>IF(B21&lt;&gt;0,C21/B21,"")</f>
        <v>0.38563467980295563</v>
      </c>
      <c r="E21" s="1"/>
    </row>
    <row r="22" spans="1:7" ht="15" customHeight="1">
      <c r="A22" s="59" t="s">
        <v>211</v>
      </c>
      <c r="B22" s="60">
        <f>INDEX('Monthly_P&amp;L'!$C$26:$AG$26,1,MATCH($A22,'Monthly_P&amp;L'!$C$3:$AG$3,0))</f>
        <v>10837.5</v>
      </c>
      <c r="C22" s="60">
        <f>INDEX('Monthly_P&amp;L'!$C$48:$AG$48,1,MATCH($A22,'Monthly_P&amp;L'!$C$3:$AG$3,0))</f>
        <v>2820.13</v>
      </c>
      <c r="D22" s="58">
        <f>IF(B22&lt;&gt;0,C22/B22,"")</f>
        <v>0.26021960784313725</v>
      </c>
      <c r="E22" s="1"/>
    </row>
    <row r="23" spans="1:7" ht="15" customHeight="1">
      <c r="A23" s="59" t="s">
        <v>212</v>
      </c>
      <c r="B23" s="60">
        <f>INDEX('Monthly_P&amp;L'!$C$26:$AG$26,1,MATCH($A23,'Monthly_P&amp;L'!$C$3:$AG$3,0))</f>
        <v>8568.75</v>
      </c>
      <c r="C23" s="60">
        <f>INDEX('Monthly_P&amp;L'!$C$48:$AG$48,1,MATCH($A23,'Monthly_P&amp;L'!$C$3:$AG$3,0))</f>
        <v>4702.37</v>
      </c>
      <c r="D23" s="58">
        <f>IF(B23&lt;&gt;0,C23/B23,"")</f>
        <v>0.54878132749817654</v>
      </c>
      <c r="E23" s="1"/>
    </row>
    <row r="24" spans="1:7" ht="15" customHeight="1">
      <c r="A24" s="59" t="s">
        <v>213</v>
      </c>
      <c r="B24" s="60">
        <f>INDEX('Monthly_P&amp;L'!$C$26:$AG$26,1,MATCH($A24,'Monthly_P&amp;L'!$C$3:$AG$3,0))</f>
        <v>7443.75</v>
      </c>
      <c r="C24" s="60">
        <f>INDEX('Monthly_P&amp;L'!$C$48:$AG$48,1,MATCH($A24,'Monthly_P&amp;L'!$C$3:$AG$3,0))</f>
        <v>1951.9700000000003</v>
      </c>
      <c r="D24" s="58">
        <f>IF(B24&lt;&gt;0,C24/B24,"")</f>
        <v>0.26222938706968935</v>
      </c>
      <c r="E24" s="1"/>
    </row>
    <row r="25" spans="1:7" ht="15" customHeight="1">
      <c r="A25" s="59" t="s">
        <v>214</v>
      </c>
      <c r="B25" s="60">
        <f>INDEX('Monthly_P&amp;L'!$C$26:$AG$26,1,MATCH($A25,'Monthly_P&amp;L'!$C$3:$AG$3,0))</f>
        <v>8568.75</v>
      </c>
      <c r="C25" s="60">
        <f>INDEX('Monthly_P&amp;L'!$C$48:$AG$48,1,MATCH($A25,'Monthly_P&amp;L'!$C$3:$AG$3,0))</f>
        <v>2977.75</v>
      </c>
      <c r="D25" s="58">
        <f>IF(B25&lt;&gt;0,C25/B25,"")</f>
        <v>0.34751276440554341</v>
      </c>
      <c r="E25" s="1"/>
    </row>
    <row r="26" spans="1:7" ht="15" customHeight="1">
      <c r="A26" s="59" t="s">
        <v>215</v>
      </c>
      <c r="B26" s="60">
        <f>INDEX('Monthly_P&amp;L'!$C$26:$AG$26,1,MATCH($A26,'Monthly_P&amp;L'!$C$3:$AG$3,0))</f>
        <v>6631.25</v>
      </c>
      <c r="C26" s="60">
        <f>INDEX('Monthly_P&amp;L'!$C$48:$AG$48,1,MATCH($A26,'Monthly_P&amp;L'!$C$3:$AG$3,0))</f>
        <v>2693.7999999999997</v>
      </c>
      <c r="D26" s="58">
        <f>IF(B26&lt;&gt;0,C26/B26,"")</f>
        <v>0.4062280867106503</v>
      </c>
      <c r="E26" s="1"/>
    </row>
    <row r="27" spans="1:7" ht="15" customHeight="1">
      <c r="A27" s="59" t="s">
        <v>216</v>
      </c>
      <c r="B27" s="60">
        <f>INDEX('Monthly_P&amp;L'!$C$26:$AG$26,1,MATCH($A27,'Monthly_P&amp;L'!$C$3:$AG$3,0))</f>
        <v>6699.24</v>
      </c>
      <c r="C27" s="60">
        <f>INDEX('Monthly_P&amp;L'!$C$48:$AG$48,1,MATCH($A27,'Monthly_P&amp;L'!$C$3:$AG$3,0))</f>
        <v>265.64999999999964</v>
      </c>
      <c r="D27" s="58">
        <f>IF(B27&lt;&gt;0,C27/B27,"")</f>
        <v>3.9653751768857312E-2</v>
      </c>
      <c r="E27" s="1"/>
    </row>
    <row r="28" spans="1:7" ht="15" customHeight="1">
      <c r="A28" s="59" t="s">
        <v>217</v>
      </c>
      <c r="B28" s="60">
        <f>INDEX('Monthly_P&amp;L'!$C$26:$AG$26,1,MATCH($A28,'Monthly_P&amp;L'!$C$3:$AG$3,0))</f>
        <v>11406.87</v>
      </c>
      <c r="C28" s="60">
        <f>INDEX('Monthly_P&amp;L'!$C$48:$AG$48,1,MATCH($A28,'Monthly_P&amp;L'!$C$3:$AG$3,0))</f>
        <v>3758.7200000000012</v>
      </c>
      <c r="D28" s="58">
        <f>IF(B28&lt;&gt;0,C28/B28,"")</f>
        <v>0.3295137053372223</v>
      </c>
      <c r="E28" s="1"/>
    </row>
    <row r="29" spans="1:7" ht="15" customHeight="1">
      <c r="A29" s="59" t="s">
        <v>218</v>
      </c>
      <c r="B29" s="60">
        <f>INDEX('Monthly_P&amp;L'!$C$26:$AG$26,1,MATCH($A29,'Monthly_P&amp;L'!$C$3:$AG$3,0))</f>
        <v>12859.369999999999</v>
      </c>
      <c r="C29" s="60">
        <f>INDEX('Monthly_P&amp;L'!$C$48:$AG$48,1,MATCH($A29,'Monthly_P&amp;L'!$C$3:$AG$3,0))</f>
        <v>3549.1599999999989</v>
      </c>
      <c r="D29" s="58">
        <f>IF(B29&lt;&gt;0,C29/B29,"")</f>
        <v>0.27599796879629401</v>
      </c>
      <c r="E29" s="1"/>
    </row>
    <row r="30" spans="1:7" ht="15" customHeight="1">
      <c r="A30" s="59" t="s">
        <v>219</v>
      </c>
      <c r="B30" s="60">
        <f>INDEX('Monthly_P&amp;L'!$C$26:$AG$26,1,MATCH($A30,'Monthly_P&amp;L'!$C$3:$AG$3,0))</f>
        <v>10931.25</v>
      </c>
      <c r="C30" s="60">
        <f>INDEX('Monthly_P&amp;L'!$C$48:$AG$48,1,MATCH($A30,'Monthly_P&amp;L'!$C$3:$AG$3,0))</f>
        <v>2818.92</v>
      </c>
      <c r="D30" s="58">
        <f>IF(B30&lt;&gt;0,C30/B30,"")</f>
        <v>0.25787718696397943</v>
      </c>
      <c r="E30" s="1"/>
    </row>
    <row r="31" spans="1:7" ht="15" customHeight="1">
      <c r="A31" s="59" t="s">
        <v>220</v>
      </c>
      <c r="B31" s="60">
        <f>INDEX('Monthly_P&amp;L'!$C$26:$AG$26,1,MATCH($A31,'Monthly_P&amp;L'!$C$3:$AG$3,0))</f>
        <v>9301.25</v>
      </c>
      <c r="C31" s="60">
        <f>INDEX('Monthly_P&amp;L'!$C$48:$AG$48,1,MATCH($A31,'Monthly_P&amp;L'!$C$3:$AG$3,0))</f>
        <v>2407.8099999999995</v>
      </c>
      <c r="D31" s="58">
        <f>IF(B31&lt;&gt;0,C31/B31,"")</f>
        <v>0.25886950678672216</v>
      </c>
      <c r="E31" s="1"/>
    </row>
    <row r="32" spans="1:7" ht="15" customHeight="1">
      <c r="A32" s="59" t="s">
        <v>221</v>
      </c>
      <c r="B32" s="60">
        <f>INDEX('Monthly_P&amp;L'!$C$26:$AG$26,1,MATCH($A32,'Monthly_P&amp;L'!$C$3:$AG$3,0))</f>
        <v>7027.5</v>
      </c>
      <c r="C32" s="60">
        <f>INDEX('Monthly_P&amp;L'!$C$48:$AG$48,1,MATCH($A32,'Monthly_P&amp;L'!$C$3:$AG$3,0))</f>
        <v>488.31999999999971</v>
      </c>
      <c r="D32" s="58">
        <f>IF(B32&lt;&gt;0,C32/B32,"")</f>
        <v>6.9487015297047275E-2</v>
      </c>
      <c r="E32" s="1"/>
    </row>
    <row r="33" spans="1:7" ht="15" customHeight="1">
      <c r="A33" s="59" t="s">
        <v>222</v>
      </c>
      <c r="B33" s="60">
        <f>INDEX('Monthly_P&amp;L'!$C$26:$AG$26,1,MATCH($A33,'Monthly_P&amp;L'!$C$3:$AG$3,0))</f>
        <v>7800</v>
      </c>
      <c r="C33" s="60">
        <f>INDEX('Monthly_P&amp;L'!$C$48:$AG$48,1,MATCH($A33,'Monthly_P&amp;L'!$C$3:$AG$3,0))</f>
        <v>276.38000000000011</v>
      </c>
      <c r="D33" s="58">
        <f>IF(B33&lt;&gt;0,C33/B33,"")</f>
        <v>3.5433333333333344E-2</v>
      </c>
      <c r="E33" s="1"/>
    </row>
    <row r="34" spans="1:7" ht="15" customHeight="1">
      <c r="A34" s="59" t="s">
        <v>223</v>
      </c>
      <c r="B34" s="60">
        <f>INDEX('Monthly_P&amp;L'!$C$26:$AG$26,1,MATCH($A34,'Monthly_P&amp;L'!$C$3:$AG$3,0))</f>
        <v>11250</v>
      </c>
      <c r="C34" s="60">
        <f>INDEX('Monthly_P&amp;L'!$C$48:$AG$48,1,MATCH($A34,'Monthly_P&amp;L'!$C$3:$AG$3,0))</f>
        <v>2922.21</v>
      </c>
      <c r="D34" s="58">
        <f>IF(B34&lt;&gt;0,C34/B34,"")</f>
        <v>0.25975199999999998</v>
      </c>
      <c r="E34" s="1"/>
    </row>
    <row r="35" spans="1:7" ht="15" customHeight="1">
      <c r="A35" s="59" t="s">
        <v>224</v>
      </c>
      <c r="B35" s="60">
        <f>INDEX('Monthly_P&amp;L'!$C$26:$AG$26,1,MATCH($A35,'Monthly_P&amp;L'!$C$3:$AG$3,0))</f>
        <v>10962.5</v>
      </c>
      <c r="C35" s="60">
        <f>INDEX('Monthly_P&amp;L'!$C$48:$AG$48,1,MATCH($A35,'Monthly_P&amp;L'!$C$3:$AG$3,0))</f>
        <v>2398.38</v>
      </c>
      <c r="D35" s="58">
        <f>IF(B35&lt;&gt;0,C35/B35,"")</f>
        <v>0.21878038768529076</v>
      </c>
      <c r="E35" s="1"/>
    </row>
    <row r="36" spans="1:7" ht="15" customHeight="1">
      <c r="A36" s="59" t="s">
        <v>225</v>
      </c>
      <c r="B36" s="60">
        <f>INDEX('Monthly_P&amp;L'!$C$26:$AG$26,1,MATCH($A36,'Monthly_P&amp;L'!$C$3:$AG$3,0))</f>
        <v>12725</v>
      </c>
      <c r="C36" s="60">
        <f>INDEX('Monthly_P&amp;L'!$C$48:$AG$48,1,MATCH($A36,'Monthly_P&amp;L'!$C$3:$AG$3,0))</f>
        <v>6336.63</v>
      </c>
      <c r="D36" s="58">
        <f>IF(B36&lt;&gt;0,C36/B36,"")</f>
        <v>0.49796699410609035</v>
      </c>
      <c r="E36" s="1"/>
    </row>
    <row r="37" spans="1:7" ht="15" customHeight="1">
      <c r="A37" s="59" t="s">
        <v>226</v>
      </c>
      <c r="B37" s="60">
        <f>INDEX('Monthly_P&amp;L'!$C$26:$AG$26,1,MATCH($A37,'Monthly_P&amp;L'!$C$3:$AG$3,0))</f>
        <v>13297.869999999999</v>
      </c>
      <c r="C37" s="60">
        <f>INDEX('Monthly_P&amp;L'!$C$48:$AG$48,1,MATCH($A37,'Monthly_P&amp;L'!$C$3:$AG$3,0))</f>
        <v>4152.51</v>
      </c>
      <c r="D37" s="58">
        <f>IF(B37&lt;&gt;0,C37/B37,"")</f>
        <v>0.31226880695931009</v>
      </c>
      <c r="E37" s="1"/>
    </row>
    <row r="38" spans="1:7" ht="15" customHeight="1">
      <c r="A38" s="59" t="s">
        <v>227</v>
      </c>
      <c r="B38" s="60">
        <f>INDEX('Monthly_P&amp;L'!$C$26:$AG$26,1,MATCH($A38,'Monthly_P&amp;L'!$C$3:$AG$3,0))</f>
        <v>14067.5</v>
      </c>
      <c r="C38" s="60">
        <f>INDEX('Monthly_P&amp;L'!$C$48:$AG$48,1,MATCH($A38,'Monthly_P&amp;L'!$C$3:$AG$3,0))</f>
        <v>7609.5</v>
      </c>
      <c r="D38" s="58">
        <f>IF(B38&lt;&gt;0,C38/B38,"")</f>
        <v>0.54092767016172028</v>
      </c>
      <c r="E38" s="1"/>
    </row>
    <row r="39" spans="1:7" ht="15" customHeight="1">
      <c r="A39" s="59" t="s">
        <v>228</v>
      </c>
      <c r="B39" s="60">
        <f>INDEX('Monthly_P&amp;L'!$C$26:$AG$26,1,MATCH($A39,'Monthly_P&amp;L'!$C$3:$AG$3,0))</f>
        <v>13436.880000000001</v>
      </c>
      <c r="C39" s="60">
        <f>INDEX('Monthly_P&amp;L'!$C$48:$AG$48,1,MATCH($A39,'Monthly_P&amp;L'!$C$3:$AG$3,0))</f>
        <v>4282.3000000000011</v>
      </c>
      <c r="D39" s="58">
        <f>IF(B39&lt;&gt;0,C39/B39,"")</f>
        <v>0.31869749525187402</v>
      </c>
      <c r="E39" s="1"/>
    </row>
    <row r="40" spans="1:7" ht="15" customHeight="1">
      <c r="A40" s="59" t="s">
        <v>229</v>
      </c>
      <c r="B40" s="60">
        <f>INDEX('Monthly_P&amp;L'!$C$26:$AG$26,1,MATCH($A40,'Monthly_P&amp;L'!$C$3:$AG$3,0))</f>
        <v>14926.25</v>
      </c>
      <c r="C40" s="60">
        <f>INDEX('Monthly_P&amp;L'!$C$48:$AG$48,1,MATCH($A40,'Monthly_P&amp;L'!$C$3:$AG$3,0))</f>
        <v>6429.7999999999993</v>
      </c>
      <c r="D40" s="58">
        <f>IF(B40&lt;&gt;0,C40/B40,"")</f>
        <v>0.430771292186584</v>
      </c>
      <c r="E40" s="1"/>
    </row>
    <row r="41" spans="1:7" ht="15" customHeight="1">
      <c r="A41" s="59" t="s">
        <v>230</v>
      </c>
      <c r="B41" s="60">
        <f>INDEX('Monthly_P&amp;L'!$C$26:$AG$26,1,MATCH($A41,'Monthly_P&amp;L'!$C$3:$AG$3,0))</f>
        <v>13636.25</v>
      </c>
      <c r="C41" s="60">
        <f>INDEX('Monthly_P&amp;L'!$C$48:$AG$48,1,MATCH($A41,'Monthly_P&amp;L'!$C$3:$AG$3,0))</f>
        <v>4310.1400000000012</v>
      </c>
      <c r="D41" s="58">
        <f>IF(B41&lt;&gt;0,C41/B41,"")</f>
        <v>0.31607956732972786</v>
      </c>
      <c r="E41" s="1"/>
    </row>
    <row r="42" spans="1:7" ht="18" customHeight="1">
      <c r="A42" s="59" t="s">
        <v>231</v>
      </c>
      <c r="B42" s="60">
        <f>INDEX('Monthly_P&amp;L'!$C$26:$AG$26,1,MATCH($A42,'Monthly_P&amp;L'!$C$3:$AG$3,0))</f>
        <v>13158.75</v>
      </c>
      <c r="C42" s="60">
        <f>INDEX('Monthly_P&amp;L'!$C$48:$AG$48,1,MATCH($A42,'Monthly_P&amp;L'!$C$3:$AG$3,0))</f>
        <v>4978.1699999999992</v>
      </c>
      <c r="D42" s="58">
        <f>IF(B42&lt;&gt;0,C42/B42,"")</f>
        <v>0.37831632943858645</v>
      </c>
      <c r="E42" s="1"/>
    </row>
    <row r="43" spans="1:7" ht="18" customHeight="1">
      <c r="A43" s="61" t="s">
        <v>232</v>
      </c>
      <c r="B43" s="62">
        <f>INDEX('Monthly_P&amp;L'!$C$26:$AG$26,1,MATCH($A43,'Monthly_P&amp;L'!$C$3:$AG$3,0))</f>
        <v>7418.75</v>
      </c>
      <c r="C43" s="62">
        <f>INDEX('Monthly_P&amp;L'!$C$48:$AG$48,1,MATCH($A43,'Monthly_P&amp;L'!$C$3:$AG$3,0))</f>
        <v>1566.4499999999998</v>
      </c>
      <c r="D43" s="63">
        <f>IF(B43&lt;&gt;0,C43/B43,"")</f>
        <v>0.21114743049705137</v>
      </c>
      <c r="E43" s="64"/>
      <c r="F43" s="64"/>
      <c r="G43" s="64"/>
    </row>
    <row r="44" spans="1:7" ht="18" customHeight="1">
      <c r="A44" s="59" t="s">
        <v>233</v>
      </c>
      <c r="B44" s="60">
        <f>INDEX('Monthly_P&amp;L'!$C$26:$AG$26,1,MATCH($A44,'Monthly_P&amp;L'!$C$3:$AG$3,0))</f>
        <v>3987.5</v>
      </c>
      <c r="C44" s="60">
        <f>INDEX('Monthly_P&amp;L'!$C$48:$AG$48,1,MATCH($A44,'Monthly_P&amp;L'!$C$3:$AG$3,0))</f>
        <v>1081.5999999999999</v>
      </c>
      <c r="D44" s="58">
        <f>IF(B44&lt;&gt;0,C44/B44,"")</f>
        <v>0.27124764890282127</v>
      </c>
      <c r="E44" s="65"/>
      <c r="F44" s="65"/>
      <c r="G44" s="66"/>
    </row>
    <row r="46" spans="1:7" ht="15" customHeight="1">
      <c r="A46" s="67" t="s">
        <v>234</v>
      </c>
      <c r="B46" s="67"/>
      <c r="C46" s="67"/>
      <c r="D46" s="67"/>
      <c r="E46" s="67"/>
      <c r="F46" s="67"/>
      <c r="G46" s="67"/>
    </row>
    <row r="47" spans="1:7" ht="15" customHeight="1">
      <c r="A47" s="67" t="s">
        <v>235</v>
      </c>
      <c r="B47" s="67" t="s">
        <v>236</v>
      </c>
      <c r="C47" s="67" t="s">
        <v>237</v>
      </c>
      <c r="D47" s="67" t="s">
        <v>238</v>
      </c>
      <c r="E47" s="67" t="s">
        <v>239</v>
      </c>
      <c r="F47" s="67" t="s">
        <v>240</v>
      </c>
      <c r="G47" s="67" t="s">
        <v>241</v>
      </c>
    </row>
    <row r="48" spans="1:7" ht="48.75" customHeight="1">
      <c r="A48" s="68">
        <f>Budget_vs_Actual!B17</f>
        <v>117700</v>
      </c>
      <c r="B48" s="68">
        <f>Budget_vs_Actual!C17</f>
        <v>120892.1</v>
      </c>
      <c r="C48" s="68">
        <f>Budget_vs_Actual!D17</f>
        <v>3192.1000000000022</v>
      </c>
      <c r="D48" s="68">
        <f>Budget_vs_Actual!H17</f>
        <v>29650</v>
      </c>
      <c r="E48" s="68">
        <f>Budget_vs_Actual!I17</f>
        <v>32068.489999999998</v>
      </c>
      <c r="F48" s="68">
        <f>Budget_vs_Actual!J17</f>
        <v>2418.4900000000007</v>
      </c>
      <c r="G48" s="69" t="s">
        <v>242</v>
      </c>
    </row>
  </sheetData>
  <mergeCells count="2">
    <mergeCell ref="A1:N1"/>
    <mergeCell ref="A2:N2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55"/>
  <sheetViews>
    <sheetView showGridLines="0" topLeftCell="A40" zoomScaleNormal="100" workbookViewId="0">
      <selection activeCell="A55" sqref="A55:AH55"/>
    </sheetView>
  </sheetViews>
  <sheetFormatPr defaultColWidth="8.7109375" defaultRowHeight="15"/>
  <cols>
    <col min="1" max="1" width="32" style="13" customWidth="1"/>
    <col min="2" max="2" width="7" style="13" customWidth="1"/>
    <col min="3" max="3" width="8.42578125" style="13" customWidth="1"/>
    <col min="4" max="4" width="10.140625" style="13" customWidth="1"/>
    <col min="5" max="10" width="8.42578125" style="13" customWidth="1"/>
    <col min="11" max="11" width="9.28515625" style="13" customWidth="1"/>
    <col min="12" max="16" width="8.42578125" style="13" customWidth="1"/>
    <col min="17" max="17" width="9.28515625" style="13" customWidth="1"/>
    <col min="18" max="18" width="9.7109375" style="13" customWidth="1"/>
    <col min="19" max="22" width="8.42578125" style="13" customWidth="1"/>
    <col min="23" max="23" width="9.7109375" style="13" customWidth="1"/>
    <col min="24" max="24" width="9.42578125" style="13" customWidth="1"/>
    <col min="25" max="25" width="10" style="13" customWidth="1"/>
    <col min="26" max="26" width="9.140625" style="13" customWidth="1"/>
    <col min="27" max="27" width="9.7109375" style="13" customWidth="1"/>
    <col min="28" max="28" width="10.140625" style="13" customWidth="1"/>
    <col min="29" max="29" width="9.5703125" style="13" customWidth="1"/>
    <col min="30" max="30" width="8.42578125" style="13" customWidth="1"/>
    <col min="31" max="31" width="9.42578125" style="13" customWidth="1"/>
    <col min="32" max="33" width="8.42578125" style="13" customWidth="1"/>
    <col min="34" max="34" width="11" style="13" customWidth="1"/>
  </cols>
  <sheetData>
    <row r="1" spans="1:34" ht="25.5" customHeight="1">
      <c r="A1" s="279" t="s">
        <v>243</v>
      </c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  <c r="Y1" s="279"/>
      <c r="Z1" s="279"/>
      <c r="AA1" s="279"/>
      <c r="AB1" s="279"/>
      <c r="AC1" s="279"/>
      <c r="AD1" s="279"/>
      <c r="AE1" s="279"/>
      <c r="AF1" s="279"/>
      <c r="AG1" s="279"/>
      <c r="AH1" s="279"/>
    </row>
    <row r="2" spans="1:34" ht="13.5" customHeight="1">
      <c r="A2" s="280" t="s">
        <v>244</v>
      </c>
      <c r="B2" s="280"/>
      <c r="C2" s="280"/>
      <c r="D2" s="280"/>
      <c r="E2" s="280"/>
      <c r="F2" s="280"/>
      <c r="G2" s="280"/>
      <c r="H2" s="280"/>
      <c r="I2" s="280"/>
      <c r="J2" s="280"/>
      <c r="K2" s="280"/>
      <c r="L2" s="280"/>
      <c r="M2" s="280"/>
      <c r="N2" s="280"/>
      <c r="O2" s="280"/>
      <c r="P2" s="280"/>
      <c r="Q2" s="280"/>
      <c r="R2" s="280"/>
      <c r="S2" s="280"/>
      <c r="T2" s="280"/>
      <c r="U2" s="280"/>
      <c r="V2" s="280"/>
      <c r="W2" s="280"/>
      <c r="X2" s="280"/>
      <c r="Y2" s="280"/>
      <c r="Z2" s="280"/>
      <c r="AA2" s="280"/>
      <c r="AB2" s="280"/>
      <c r="AC2" s="280"/>
      <c r="AD2" s="280"/>
      <c r="AE2" s="280"/>
      <c r="AF2" s="280"/>
      <c r="AG2" s="280"/>
      <c r="AH2" s="280"/>
    </row>
    <row r="3" spans="1:34" ht="3.75" customHeight="1">
      <c r="C3" s="70" t="s">
        <v>197</v>
      </c>
      <c r="D3" s="70" t="s">
        <v>199</v>
      </c>
      <c r="E3" s="70" t="s">
        <v>201</v>
      </c>
      <c r="F3" s="70" t="s">
        <v>203</v>
      </c>
      <c r="G3" s="70" t="s">
        <v>204</v>
      </c>
      <c r="H3" s="70" t="s">
        <v>206</v>
      </c>
      <c r="I3" s="70" t="s">
        <v>208</v>
      </c>
      <c r="J3" s="70" t="s">
        <v>210</v>
      </c>
      <c r="K3" s="70" t="s">
        <v>211</v>
      </c>
      <c r="L3" s="70" t="s">
        <v>212</v>
      </c>
      <c r="M3" s="70" t="s">
        <v>213</v>
      </c>
      <c r="N3" s="70" t="s">
        <v>214</v>
      </c>
      <c r="O3" s="70" t="s">
        <v>215</v>
      </c>
      <c r="P3" s="70" t="s">
        <v>216</v>
      </c>
      <c r="Q3" s="70" t="s">
        <v>217</v>
      </c>
      <c r="R3" s="70" t="s">
        <v>218</v>
      </c>
      <c r="S3" s="70" t="s">
        <v>219</v>
      </c>
      <c r="T3" s="70" t="s">
        <v>220</v>
      </c>
      <c r="U3" s="70" t="s">
        <v>221</v>
      </c>
      <c r="V3" s="70" t="s">
        <v>222</v>
      </c>
      <c r="W3" s="70" t="s">
        <v>223</v>
      </c>
      <c r="X3" s="70" t="s">
        <v>224</v>
      </c>
      <c r="Y3" s="70" t="s">
        <v>225</v>
      </c>
      <c r="Z3" s="70" t="s">
        <v>226</v>
      </c>
      <c r="AA3" s="70" t="s">
        <v>227</v>
      </c>
      <c r="AB3" s="70" t="s">
        <v>228</v>
      </c>
      <c r="AC3" s="70" t="s">
        <v>229</v>
      </c>
      <c r="AD3" s="70" t="s">
        <v>230</v>
      </c>
      <c r="AE3" s="70" t="s">
        <v>231</v>
      </c>
      <c r="AF3" s="70" t="s">
        <v>232</v>
      </c>
      <c r="AG3" s="70" t="s">
        <v>233</v>
      </c>
    </row>
    <row r="4" spans="1:34" ht="13.5" customHeight="1">
      <c r="A4" s="71"/>
      <c r="B4" s="71"/>
      <c r="C4" s="72">
        <v>2019</v>
      </c>
      <c r="D4" s="72">
        <v>2019</v>
      </c>
      <c r="E4" s="72">
        <v>2020</v>
      </c>
      <c r="F4" s="72">
        <v>2020</v>
      </c>
      <c r="G4" s="72">
        <v>2020</v>
      </c>
      <c r="H4" s="72">
        <v>2020</v>
      </c>
      <c r="I4" s="72">
        <v>2020</v>
      </c>
      <c r="J4" s="72">
        <v>2020</v>
      </c>
      <c r="K4" s="72">
        <v>2020</v>
      </c>
      <c r="L4" s="72">
        <v>2020</v>
      </c>
      <c r="M4" s="72">
        <v>2020</v>
      </c>
      <c r="N4" s="72">
        <v>2020</v>
      </c>
      <c r="O4" s="72">
        <v>2021</v>
      </c>
      <c r="P4" s="72">
        <v>2021</v>
      </c>
      <c r="Q4" s="72">
        <v>2021</v>
      </c>
      <c r="R4" s="72">
        <v>2021</v>
      </c>
      <c r="S4" s="72">
        <v>2021</v>
      </c>
      <c r="T4" s="72">
        <v>2021</v>
      </c>
      <c r="U4" s="72">
        <v>2021</v>
      </c>
      <c r="V4" s="72">
        <v>2021</v>
      </c>
      <c r="W4" s="72">
        <v>2021</v>
      </c>
      <c r="X4" s="72">
        <v>2021</v>
      </c>
      <c r="Y4" s="72">
        <v>2021</v>
      </c>
      <c r="Z4" s="72">
        <v>2021</v>
      </c>
      <c r="AA4" s="72">
        <v>2022</v>
      </c>
      <c r="AB4" s="72">
        <v>2022</v>
      </c>
      <c r="AC4" s="72">
        <v>2022</v>
      </c>
      <c r="AD4" s="72">
        <v>2022</v>
      </c>
      <c r="AE4" s="72">
        <v>2022</v>
      </c>
      <c r="AF4" s="72">
        <v>2022</v>
      </c>
      <c r="AG4" s="72">
        <v>2022</v>
      </c>
      <c r="AH4" s="72" t="s">
        <v>161</v>
      </c>
    </row>
    <row r="5" spans="1:34" ht="13.5" customHeight="1">
      <c r="A5" s="71"/>
      <c r="B5" s="71"/>
      <c r="C5" s="73" t="s">
        <v>245</v>
      </c>
      <c r="D5" s="73" t="s">
        <v>246</v>
      </c>
      <c r="E5" s="73" t="s">
        <v>247</v>
      </c>
      <c r="F5" s="73" t="s">
        <v>248</v>
      </c>
      <c r="G5" s="73" t="s">
        <v>249</v>
      </c>
      <c r="H5" s="73" t="s">
        <v>250</v>
      </c>
      <c r="I5" s="73" t="s">
        <v>251</v>
      </c>
      <c r="J5" s="73" t="s">
        <v>252</v>
      </c>
      <c r="K5" s="73" t="s">
        <v>253</v>
      </c>
      <c r="L5" s="73" t="s">
        <v>254</v>
      </c>
      <c r="M5" s="73" t="s">
        <v>245</v>
      </c>
      <c r="N5" s="73" t="s">
        <v>246</v>
      </c>
      <c r="O5" s="73" t="s">
        <v>247</v>
      </c>
      <c r="P5" s="73" t="s">
        <v>248</v>
      </c>
      <c r="Q5" s="73" t="s">
        <v>249</v>
      </c>
      <c r="R5" s="73" t="s">
        <v>255</v>
      </c>
      <c r="S5" s="73" t="s">
        <v>256</v>
      </c>
      <c r="T5" s="73" t="s">
        <v>250</v>
      </c>
      <c r="U5" s="73" t="s">
        <v>251</v>
      </c>
      <c r="V5" s="73" t="s">
        <v>252</v>
      </c>
      <c r="W5" s="73" t="s">
        <v>253</v>
      </c>
      <c r="X5" s="73" t="s">
        <v>254</v>
      </c>
      <c r="Y5" s="73" t="s">
        <v>245</v>
      </c>
      <c r="Z5" s="73" t="s">
        <v>246</v>
      </c>
      <c r="AA5" s="73" t="s">
        <v>247</v>
      </c>
      <c r="AB5" s="73" t="s">
        <v>248</v>
      </c>
      <c r="AC5" s="73" t="s">
        <v>249</v>
      </c>
      <c r="AD5" s="73" t="s">
        <v>255</v>
      </c>
      <c r="AE5" s="73" t="s">
        <v>256</v>
      </c>
      <c r="AF5" s="73" t="s">
        <v>250</v>
      </c>
      <c r="AG5" s="73" t="s">
        <v>251</v>
      </c>
      <c r="AH5" s="72" t="s">
        <v>257</v>
      </c>
    </row>
    <row r="6" spans="1:34" ht="15" customHeight="1">
      <c r="A6" s="268" t="s">
        <v>258</v>
      </c>
      <c r="B6" s="268"/>
      <c r="C6" s="268"/>
      <c r="D6" s="268"/>
      <c r="E6" s="268"/>
      <c r="F6" s="268"/>
      <c r="G6" s="268"/>
      <c r="H6" s="268"/>
      <c r="I6" s="268"/>
      <c r="J6" s="268"/>
      <c r="K6" s="268"/>
      <c r="L6" s="268"/>
      <c r="M6" s="268"/>
      <c r="N6" s="268"/>
      <c r="O6" s="268"/>
      <c r="P6" s="268"/>
      <c r="Q6" s="268"/>
      <c r="R6" s="268"/>
      <c r="S6" s="268"/>
      <c r="T6" s="268"/>
      <c r="U6" s="268"/>
      <c r="V6" s="268"/>
      <c r="W6" s="268"/>
      <c r="X6" s="268"/>
      <c r="Y6" s="268"/>
      <c r="Z6" s="268"/>
      <c r="AA6" s="268"/>
      <c r="AB6" s="268"/>
      <c r="AC6" s="268"/>
      <c r="AD6" s="268"/>
      <c r="AE6" s="268"/>
      <c r="AF6" s="268"/>
      <c r="AG6" s="268"/>
      <c r="AH6" s="268"/>
    </row>
    <row r="7" spans="1:34" ht="15" customHeight="1">
      <c r="A7" s="74" t="s">
        <v>259</v>
      </c>
      <c r="B7" s="75" t="s">
        <v>260</v>
      </c>
      <c r="C7" s="76">
        <f>IFERROR(INDEX(Model_Data!$A$4:$AG$34,MATCH(C$3,Model_Data!$A$4:$A$34,0),MATCH("Revenue - Choreography",Model_Data!$A$3:$AG$3,0)),"")</f>
        <v>1375</v>
      </c>
      <c r="D7" s="76">
        <f>IFERROR(INDEX(Model_Data!$A$4:$AG$34,MATCH(D$3,Model_Data!$A$4:$A$34,0),MATCH("Revenue - Choreography",Model_Data!$A$3:$AG$3,0)),"")</f>
        <v>1875</v>
      </c>
      <c r="E7" s="76">
        <f>IFERROR(INDEX(Model_Data!$A$4:$AG$34,MATCH(E$3,Model_Data!$A$4:$A$34,0),MATCH("Revenue - Choreography",Model_Data!$A$3:$AG$3,0)),"")</f>
        <v>3237.5</v>
      </c>
      <c r="F7" s="76">
        <f>IFERROR(INDEX(Model_Data!$A$4:$AG$34,MATCH(F$3,Model_Data!$A$4:$A$34,0),MATCH("Revenue - Choreography",Model_Data!$A$3:$AG$3,0)),"")</f>
        <v>3162.5</v>
      </c>
      <c r="G7" s="76">
        <f>IFERROR(INDEX(Model_Data!$A$4:$AG$34,MATCH(G$3,Model_Data!$A$4:$A$34,0),MATCH("Revenue - Choreography",Model_Data!$A$3:$AG$3,0)),"")</f>
        <v>2775</v>
      </c>
      <c r="H7" s="76">
        <f>IFERROR(INDEX(Model_Data!$A$4:$AG$34,MATCH(H$3,Model_Data!$A$4:$A$34,0),MATCH("Revenue - Choreography",Model_Data!$A$3:$AG$3,0)),"")</f>
        <v>3612.5</v>
      </c>
      <c r="I7" s="76">
        <f>IFERROR(INDEX(Model_Data!$A$4:$AG$34,MATCH(I$3,Model_Data!$A$4:$A$34,0),MATCH("Revenue - Choreography",Model_Data!$A$3:$AG$3,0)),"")</f>
        <v>3312.5</v>
      </c>
      <c r="J7" s="76">
        <f>IFERROR(INDEX(Model_Data!$A$4:$AG$34,MATCH(J$3,Model_Data!$A$4:$A$34,0),MATCH("Revenue - Choreography",Model_Data!$A$3:$AG$3,0)),"")</f>
        <v>3006.25</v>
      </c>
      <c r="K7" s="76">
        <f>IFERROR(INDEX(Model_Data!$A$4:$AG$34,MATCH(K$3,Model_Data!$A$4:$A$34,0),MATCH("Revenue - Choreography",Model_Data!$A$3:$AG$3,0)),"")</f>
        <v>6037.5</v>
      </c>
      <c r="L7" s="76">
        <f>IFERROR(INDEX(Model_Data!$A$4:$AG$34,MATCH(L$3,Model_Data!$A$4:$A$34,0),MATCH("Revenue - Choreography",Model_Data!$A$3:$AG$3,0)),"")</f>
        <v>5012.5</v>
      </c>
      <c r="M7" s="76">
        <f>IFERROR(INDEX(Model_Data!$A$4:$AG$34,MATCH(M$3,Model_Data!$A$4:$A$34,0),MATCH("Revenue - Choreography",Model_Data!$A$3:$AG$3,0)),"")</f>
        <v>3612.5</v>
      </c>
      <c r="N7" s="76">
        <f>IFERROR(INDEX(Model_Data!$A$4:$AG$34,MATCH(N$3,Model_Data!$A$4:$A$34,0),MATCH("Revenue - Choreography",Model_Data!$A$3:$AG$3,0)),"")</f>
        <v>4393.75</v>
      </c>
      <c r="O7" s="76">
        <f>IFERROR(INDEX(Model_Data!$A$4:$AG$34,MATCH(O$3,Model_Data!$A$4:$A$34,0),MATCH("Revenue - Choreography",Model_Data!$A$3:$AG$3,0)),"")</f>
        <v>3512.5</v>
      </c>
      <c r="P7" s="76">
        <f>IFERROR(INDEX(Model_Data!$A$4:$AG$34,MATCH(P$3,Model_Data!$A$4:$A$34,0),MATCH("Revenue - Choreography",Model_Data!$A$3:$AG$3,0)),"")</f>
        <v>3362.5</v>
      </c>
      <c r="Q7" s="76">
        <f>IFERROR(INDEX(Model_Data!$A$4:$AG$34,MATCH(Q$3,Model_Data!$A$4:$A$34,0),MATCH("Revenue - Choreography",Model_Data!$A$3:$AG$3,0)),"")</f>
        <v>6137.5</v>
      </c>
      <c r="R7" s="76">
        <f>IFERROR(INDEX(Model_Data!$A$4:$AG$34,MATCH(R$3,Model_Data!$A$4:$A$34,0),MATCH("Revenue - Choreography",Model_Data!$A$3:$AG$3,0)),"")</f>
        <v>5953.12</v>
      </c>
      <c r="S7" s="76">
        <f>IFERROR(INDEX(Model_Data!$A$4:$AG$34,MATCH(S$3,Model_Data!$A$4:$A$34,0),MATCH("Revenue - Choreography",Model_Data!$A$3:$AG$3,0)),"")</f>
        <v>5337.5</v>
      </c>
      <c r="T7" s="76">
        <f>IFERROR(INDEX(Model_Data!$A$4:$AG$34,MATCH(T$3,Model_Data!$A$4:$A$34,0),MATCH("Revenue - Choreography",Model_Data!$A$3:$AG$3,0)),"")</f>
        <v>5350</v>
      </c>
      <c r="U7" s="76">
        <f>IFERROR(INDEX(Model_Data!$A$4:$AG$34,MATCH(U$3,Model_Data!$A$4:$A$34,0),MATCH("Revenue - Choreography",Model_Data!$A$3:$AG$3,0)),"")</f>
        <v>3883.75</v>
      </c>
      <c r="V7" s="76">
        <f>IFERROR(INDEX(Model_Data!$A$4:$AG$34,MATCH(V$3,Model_Data!$A$4:$A$34,0),MATCH("Revenue - Choreography",Model_Data!$A$3:$AG$3,0)),"")</f>
        <v>4875</v>
      </c>
      <c r="W7" s="76">
        <f>IFERROR(INDEX(Model_Data!$A$4:$AG$34,MATCH(W$3,Model_Data!$A$4:$A$34,0),MATCH("Revenue - Choreography",Model_Data!$A$3:$AG$3,0)),"")</f>
        <v>6662.5</v>
      </c>
      <c r="X7" s="76">
        <f>IFERROR(INDEX(Model_Data!$A$4:$AG$34,MATCH(X$3,Model_Data!$A$4:$A$34,0),MATCH("Revenue - Choreography",Model_Data!$A$3:$AG$3,0)),"")</f>
        <v>5768.75</v>
      </c>
      <c r="Y7" s="76">
        <f>IFERROR(INDEX(Model_Data!$A$4:$AG$34,MATCH(Y$3,Model_Data!$A$4:$A$34,0),MATCH("Revenue - Choreography",Model_Data!$A$3:$AG$3,0)),"")</f>
        <v>5981.25</v>
      </c>
      <c r="Z7" s="76">
        <f>IFERROR(INDEX(Model_Data!$A$4:$AG$34,MATCH(Z$3,Model_Data!$A$4:$A$34,0),MATCH("Revenue - Choreography",Model_Data!$A$3:$AG$3,0)),"")</f>
        <v>5987.5</v>
      </c>
      <c r="AA7" s="76">
        <f>IFERROR(INDEX(Model_Data!$A$4:$AG$34,MATCH(AA$3,Model_Data!$A$4:$A$34,0),MATCH("Revenue - Choreography",Model_Data!$A$3:$AG$3,0)),"")</f>
        <v>6123.75</v>
      </c>
      <c r="AB7" s="76">
        <f>IFERROR(INDEX(Model_Data!$A$4:$AG$34,MATCH(AB$3,Model_Data!$A$4:$A$34,0),MATCH("Revenue - Choreography",Model_Data!$A$3:$AG$3,0)),"")</f>
        <v>5154.25</v>
      </c>
      <c r="AC7" s="76">
        <f>IFERROR(INDEX(Model_Data!$A$4:$AG$34,MATCH(AC$3,Model_Data!$A$4:$A$34,0),MATCH("Revenue - Choreography",Model_Data!$A$3:$AG$3,0)),"")</f>
        <v>6437.5</v>
      </c>
      <c r="AD7" s="76">
        <f>IFERROR(INDEX(Model_Data!$A$4:$AG$34,MATCH(AD$3,Model_Data!$A$4:$A$34,0),MATCH("Revenue - Choreography",Model_Data!$A$3:$AG$3,0)),"")</f>
        <v>5050</v>
      </c>
      <c r="AE7" s="76">
        <f>IFERROR(INDEX(Model_Data!$A$4:$AG$34,MATCH(AE$3,Model_Data!$A$4:$A$34,0),MATCH("Revenue - Choreography",Model_Data!$A$3:$AG$3,0)),"")</f>
        <v>6531.25</v>
      </c>
      <c r="AF7" s="76">
        <f>IFERROR(INDEX(Model_Data!$A$4:$AG$34,MATCH(AF$3,Model_Data!$A$4:$A$34,0),MATCH("Revenue - Choreography",Model_Data!$A$3:$AG$3,0)),"")</f>
        <v>3972.5</v>
      </c>
      <c r="AG7" s="76">
        <f>IFERROR(INDEX(Model_Data!$A$4:$AG$34,MATCH(AG$3,Model_Data!$A$4:$A$34,0),MATCH("Revenue - Choreography",Model_Data!$A$3:$AG$3,0)),"")</f>
        <v>3312.5</v>
      </c>
      <c r="AH7" s="77">
        <f>SUM(C7:AG7)</f>
        <v>140806.12</v>
      </c>
    </row>
    <row r="8" spans="1:34" ht="15" customHeight="1">
      <c r="A8" s="16" t="s">
        <v>261</v>
      </c>
      <c r="B8" s="78" t="s">
        <v>262</v>
      </c>
      <c r="C8" s="79">
        <f>IFERROR(INDEX(Model_Data!$A$4:$AG$34,MATCH(C$3,Model_Data!$A$4:$A$34,0),MATCH("Revenue - Fitness",Model_Data!$A$3:$AG$3,0)),"")</f>
        <v>0</v>
      </c>
      <c r="D8" s="79">
        <f>IFERROR(INDEX(Model_Data!$A$4:$AG$34,MATCH(D$3,Model_Data!$A$4:$A$34,0),MATCH("Revenue - Fitness",Model_Data!$A$3:$AG$3,0)),"")</f>
        <v>0</v>
      </c>
      <c r="E8" s="79">
        <f>IFERROR(INDEX(Model_Data!$A$4:$AG$34,MATCH(E$3,Model_Data!$A$4:$A$34,0),MATCH("Revenue - Fitness",Model_Data!$A$3:$AG$3,0)),"")</f>
        <v>0</v>
      </c>
      <c r="F8" s="79">
        <f>IFERROR(INDEX(Model_Data!$A$4:$AG$34,MATCH(F$3,Model_Data!$A$4:$A$34,0),MATCH("Revenue - Fitness",Model_Data!$A$3:$AG$3,0)),"")</f>
        <v>0</v>
      </c>
      <c r="G8" s="79">
        <f>IFERROR(INDEX(Model_Data!$A$4:$AG$34,MATCH(G$3,Model_Data!$A$4:$A$34,0),MATCH("Revenue - Fitness",Model_Data!$A$3:$AG$3,0)),"")</f>
        <v>656.25</v>
      </c>
      <c r="H8" s="79">
        <f>IFERROR(INDEX(Model_Data!$A$4:$AG$34,MATCH(H$3,Model_Data!$A$4:$A$34,0),MATCH("Revenue - Fitness",Model_Data!$A$3:$AG$3,0)),"")</f>
        <v>1037.5</v>
      </c>
      <c r="I8" s="79">
        <f>IFERROR(INDEX(Model_Data!$A$4:$AG$34,MATCH(I$3,Model_Data!$A$4:$A$34,0),MATCH("Revenue - Fitness",Model_Data!$A$3:$AG$3,0)),"")</f>
        <v>1762.5</v>
      </c>
      <c r="J8" s="79">
        <f>IFERROR(INDEX(Model_Data!$A$4:$AG$34,MATCH(J$3,Model_Data!$A$4:$A$34,0),MATCH("Revenue - Fitness",Model_Data!$A$3:$AG$3,0)),"")</f>
        <v>2206.25</v>
      </c>
      <c r="K8" s="79">
        <f>IFERROR(INDEX(Model_Data!$A$4:$AG$34,MATCH(K$3,Model_Data!$A$4:$A$34,0),MATCH("Revenue - Fitness",Model_Data!$A$3:$AG$3,0)),"")</f>
        <v>2037.5</v>
      </c>
      <c r="L8" s="79">
        <f>IFERROR(INDEX(Model_Data!$A$4:$AG$34,MATCH(L$3,Model_Data!$A$4:$A$34,0),MATCH("Revenue - Fitness",Model_Data!$A$3:$AG$3,0)),"")</f>
        <v>2306.25</v>
      </c>
      <c r="M8" s="79">
        <f>IFERROR(INDEX(Model_Data!$A$4:$AG$34,MATCH(M$3,Model_Data!$A$4:$A$34,0),MATCH("Revenue - Fitness",Model_Data!$A$3:$AG$3,0)),"")</f>
        <v>2018.75</v>
      </c>
      <c r="N8" s="79">
        <f>IFERROR(INDEX(Model_Data!$A$4:$AG$34,MATCH(N$3,Model_Data!$A$4:$A$34,0),MATCH("Revenue - Fitness",Model_Data!$A$3:$AG$3,0)),"")</f>
        <v>1931.25</v>
      </c>
      <c r="O8" s="79">
        <f>IFERROR(INDEX(Model_Data!$A$4:$AG$34,MATCH(O$3,Model_Data!$A$4:$A$34,0),MATCH("Revenue - Fitness",Model_Data!$A$3:$AG$3,0)),"")</f>
        <v>1806.25</v>
      </c>
      <c r="P8" s="79">
        <f>IFERROR(INDEX(Model_Data!$A$4:$AG$34,MATCH(P$3,Model_Data!$A$4:$A$34,0),MATCH("Revenue - Fitness",Model_Data!$A$3:$AG$3,0)),"")</f>
        <v>1056.25</v>
      </c>
      <c r="Q8" s="79">
        <f>IFERROR(INDEX(Model_Data!$A$4:$AG$34,MATCH(Q$3,Model_Data!$A$4:$A$34,0),MATCH("Revenue - Fitness",Model_Data!$A$3:$AG$3,0)),"")</f>
        <v>2875</v>
      </c>
      <c r="R8" s="79">
        <f>IFERROR(INDEX(Model_Data!$A$4:$AG$34,MATCH(R$3,Model_Data!$A$4:$A$34,0),MATCH("Revenue - Fitness",Model_Data!$A$3:$AG$3,0)),"")</f>
        <v>2475</v>
      </c>
      <c r="S8" s="79">
        <f>IFERROR(INDEX(Model_Data!$A$4:$AG$34,MATCH(S$3,Model_Data!$A$4:$A$34,0),MATCH("Revenue - Fitness",Model_Data!$A$3:$AG$3,0)),"")</f>
        <v>1687.5</v>
      </c>
      <c r="T8" s="79">
        <f>IFERROR(INDEX(Model_Data!$A$4:$AG$34,MATCH(T$3,Model_Data!$A$4:$A$34,0),MATCH("Revenue - Fitness",Model_Data!$A$3:$AG$3,0)),"")</f>
        <v>900</v>
      </c>
      <c r="U8" s="79">
        <f>IFERROR(INDEX(Model_Data!$A$4:$AG$34,MATCH(U$3,Model_Data!$A$4:$A$34,0),MATCH("Revenue - Fitness",Model_Data!$A$3:$AG$3,0)),"")</f>
        <v>1175</v>
      </c>
      <c r="V8" s="79">
        <f>IFERROR(INDEX(Model_Data!$A$4:$AG$34,MATCH(V$3,Model_Data!$A$4:$A$34,0),MATCH("Revenue - Fitness",Model_Data!$A$3:$AG$3,0)),"")</f>
        <v>925</v>
      </c>
      <c r="W8" s="79">
        <f>IFERROR(INDEX(Model_Data!$A$4:$AG$34,MATCH(W$3,Model_Data!$A$4:$A$34,0),MATCH("Revenue - Fitness",Model_Data!$A$3:$AG$3,0)),"")</f>
        <v>825</v>
      </c>
      <c r="X8" s="79">
        <f>IFERROR(INDEX(Model_Data!$A$4:$AG$34,MATCH(X$3,Model_Data!$A$4:$A$34,0),MATCH("Revenue - Fitness",Model_Data!$A$3:$AG$3,0)),"")</f>
        <v>1000</v>
      </c>
      <c r="Y8" s="79">
        <f>IFERROR(INDEX(Model_Data!$A$4:$AG$34,MATCH(Y$3,Model_Data!$A$4:$A$34,0),MATCH("Revenue - Fitness",Model_Data!$A$3:$AG$3,0)),"")</f>
        <v>1337.5</v>
      </c>
      <c r="Z8" s="79">
        <f>IFERROR(INDEX(Model_Data!$A$4:$AG$34,MATCH(Z$3,Model_Data!$A$4:$A$34,0),MATCH("Revenue - Fitness",Model_Data!$A$3:$AG$3,0)),"")</f>
        <v>593.75</v>
      </c>
      <c r="AA8" s="79">
        <f>IFERROR(INDEX(Model_Data!$A$4:$AG$34,MATCH(AA$3,Model_Data!$A$4:$A$34,0),MATCH("Revenue - Fitness",Model_Data!$A$3:$AG$3,0)),"")</f>
        <v>1968.75</v>
      </c>
      <c r="AB8" s="79">
        <f>IFERROR(INDEX(Model_Data!$A$4:$AG$34,MATCH(AB$3,Model_Data!$A$4:$A$34,0),MATCH("Revenue - Fitness",Model_Data!$A$3:$AG$3,0)),"")</f>
        <v>1500</v>
      </c>
      <c r="AC8" s="79">
        <f>IFERROR(INDEX(Model_Data!$A$4:$AG$34,MATCH(AC$3,Model_Data!$A$4:$A$34,0),MATCH("Revenue - Fitness",Model_Data!$A$3:$AG$3,0)),"")</f>
        <v>1500</v>
      </c>
      <c r="AD8" s="79">
        <f>IFERROR(INDEX(Model_Data!$A$4:$AG$34,MATCH(AD$3,Model_Data!$A$4:$A$34,0),MATCH("Revenue - Fitness",Model_Data!$A$3:$AG$3,0)),"")</f>
        <v>937.5</v>
      </c>
      <c r="AE8" s="79">
        <f>IFERROR(INDEX(Model_Data!$A$4:$AG$34,MATCH(AE$3,Model_Data!$A$4:$A$34,0),MATCH("Revenue - Fitness",Model_Data!$A$3:$AG$3,0)),"")</f>
        <v>1000</v>
      </c>
      <c r="AF8" s="79">
        <f>IFERROR(INDEX(Model_Data!$A$4:$AG$34,MATCH(AF$3,Model_Data!$A$4:$A$34,0),MATCH("Revenue - Fitness",Model_Data!$A$3:$AG$3,0)),"")</f>
        <v>406.25</v>
      </c>
      <c r="AG8" s="79">
        <f>IFERROR(INDEX(Model_Data!$A$4:$AG$34,MATCH(AG$3,Model_Data!$A$4:$A$34,0),MATCH("Revenue - Fitness",Model_Data!$A$3:$AG$3,0)),"")</f>
        <v>0</v>
      </c>
      <c r="AH8" s="80">
        <f>SUM(C8:AG8)</f>
        <v>37925</v>
      </c>
    </row>
    <row r="9" spans="1:34" ht="15" customHeight="1">
      <c r="A9" s="74" t="s">
        <v>263</v>
      </c>
      <c r="B9" s="75" t="s">
        <v>264</v>
      </c>
      <c r="C9" s="76">
        <f>IFERROR(INDEX(Model_Data!$A$4:$AG$34,MATCH(C$3,Model_Data!$A$4:$A$34,0),MATCH("Revenue - Karate",Model_Data!$A$3:$AG$3,0)),"")</f>
        <v>0</v>
      </c>
      <c r="D9" s="76">
        <f>IFERROR(INDEX(Model_Data!$A$4:$AG$34,MATCH(D$3,Model_Data!$A$4:$A$34,0),MATCH("Revenue - Karate",Model_Data!$A$3:$AG$3,0)),"")</f>
        <v>0</v>
      </c>
      <c r="E9" s="76">
        <f>IFERROR(INDEX(Model_Data!$A$4:$AG$34,MATCH(E$3,Model_Data!$A$4:$A$34,0),MATCH("Revenue - Karate",Model_Data!$A$3:$AG$3,0)),"")</f>
        <v>0</v>
      </c>
      <c r="F9" s="76">
        <f>IFERROR(INDEX(Model_Data!$A$4:$AG$34,MATCH(F$3,Model_Data!$A$4:$A$34,0),MATCH("Revenue - Karate",Model_Data!$A$3:$AG$3,0)),"")</f>
        <v>0</v>
      </c>
      <c r="G9" s="76">
        <f>IFERROR(INDEX(Model_Data!$A$4:$AG$34,MATCH(G$3,Model_Data!$A$4:$A$34,0),MATCH("Revenue - Karate",Model_Data!$A$3:$AG$3,0)),"")</f>
        <v>0</v>
      </c>
      <c r="H9" s="76">
        <f>IFERROR(INDEX(Model_Data!$A$4:$AG$34,MATCH(H$3,Model_Data!$A$4:$A$34,0),MATCH("Revenue - Karate",Model_Data!$A$3:$AG$3,0)),"")</f>
        <v>0</v>
      </c>
      <c r="I9" s="76">
        <f>IFERROR(INDEX(Model_Data!$A$4:$AG$34,MATCH(I$3,Model_Data!$A$4:$A$34,0),MATCH("Revenue - Karate",Model_Data!$A$3:$AG$3,0)),"")</f>
        <v>0</v>
      </c>
      <c r="J9" s="76">
        <f>IFERROR(INDEX(Model_Data!$A$4:$AG$34,MATCH(J$3,Model_Data!$A$4:$A$34,0),MATCH("Revenue - Karate",Model_Data!$A$3:$AG$3,0)),"")</f>
        <v>0</v>
      </c>
      <c r="K9" s="76">
        <f>IFERROR(INDEX(Model_Data!$A$4:$AG$34,MATCH(K$3,Model_Data!$A$4:$A$34,0),MATCH("Revenue - Karate",Model_Data!$A$3:$AG$3,0)),"")</f>
        <v>2000</v>
      </c>
      <c r="L9" s="76">
        <f>IFERROR(INDEX(Model_Data!$A$4:$AG$34,MATCH(L$3,Model_Data!$A$4:$A$34,0),MATCH("Revenue - Karate",Model_Data!$A$3:$AG$3,0)),"")</f>
        <v>1250</v>
      </c>
      <c r="M9" s="76">
        <f>IFERROR(INDEX(Model_Data!$A$4:$AG$34,MATCH(M$3,Model_Data!$A$4:$A$34,0),MATCH("Revenue - Karate",Model_Data!$A$3:$AG$3,0)),"")</f>
        <v>1750</v>
      </c>
      <c r="N9" s="76">
        <f>IFERROR(INDEX(Model_Data!$A$4:$AG$34,MATCH(N$3,Model_Data!$A$4:$A$34,0),MATCH("Revenue - Karate",Model_Data!$A$3:$AG$3,0)),"")</f>
        <v>2000</v>
      </c>
      <c r="O9" s="76">
        <f>IFERROR(INDEX(Model_Data!$A$4:$AG$34,MATCH(O$3,Model_Data!$A$4:$A$34,0),MATCH("Revenue - Karate",Model_Data!$A$3:$AG$3,0)),"")</f>
        <v>1312.5</v>
      </c>
      <c r="P9" s="76">
        <f>IFERROR(INDEX(Model_Data!$A$4:$AG$34,MATCH(P$3,Model_Data!$A$4:$A$34,0),MATCH("Revenue - Karate",Model_Data!$A$3:$AG$3,0)),"")</f>
        <v>2125</v>
      </c>
      <c r="Q9" s="76">
        <f>IFERROR(INDEX(Model_Data!$A$4:$AG$34,MATCH(Q$3,Model_Data!$A$4:$A$34,0),MATCH("Revenue - Karate",Model_Data!$A$3:$AG$3,0)),"")</f>
        <v>1750</v>
      </c>
      <c r="R9" s="76">
        <f>IFERROR(INDEX(Model_Data!$A$4:$AG$34,MATCH(R$3,Model_Data!$A$4:$A$34,0),MATCH("Revenue - Karate",Model_Data!$A$3:$AG$3,0)),"")</f>
        <v>3000</v>
      </c>
      <c r="S9" s="76">
        <f>IFERROR(INDEX(Model_Data!$A$4:$AG$34,MATCH(S$3,Model_Data!$A$4:$A$34,0),MATCH("Revenue - Karate",Model_Data!$A$3:$AG$3,0)),"")</f>
        <v>2750</v>
      </c>
      <c r="T9" s="76">
        <f>IFERROR(INDEX(Model_Data!$A$4:$AG$34,MATCH(T$3,Model_Data!$A$4:$A$34,0),MATCH("Revenue - Karate",Model_Data!$A$3:$AG$3,0)),"")</f>
        <v>2000</v>
      </c>
      <c r="U9" s="76">
        <f>IFERROR(INDEX(Model_Data!$A$4:$AG$34,MATCH(U$3,Model_Data!$A$4:$A$34,0),MATCH("Revenue - Karate",Model_Data!$A$3:$AG$3,0)),"")</f>
        <v>1750</v>
      </c>
      <c r="V9" s="76">
        <f>IFERROR(INDEX(Model_Data!$A$4:$AG$34,MATCH(V$3,Model_Data!$A$4:$A$34,0),MATCH("Revenue - Karate",Model_Data!$A$3:$AG$3,0)),"")</f>
        <v>2000</v>
      </c>
      <c r="W9" s="76">
        <f>IFERROR(INDEX(Model_Data!$A$4:$AG$34,MATCH(W$3,Model_Data!$A$4:$A$34,0),MATCH("Revenue - Karate",Model_Data!$A$3:$AG$3,0)),"")</f>
        <v>3375</v>
      </c>
      <c r="X9" s="76">
        <f>IFERROR(INDEX(Model_Data!$A$4:$AG$34,MATCH(X$3,Model_Data!$A$4:$A$34,0),MATCH("Revenue - Karate",Model_Data!$A$3:$AG$3,0)),"")</f>
        <v>3437.5</v>
      </c>
      <c r="Y9" s="76">
        <f>IFERROR(INDEX(Model_Data!$A$4:$AG$34,MATCH(Y$3,Model_Data!$A$4:$A$34,0),MATCH("Revenue - Karate",Model_Data!$A$3:$AG$3,0)),"")</f>
        <v>3437.5</v>
      </c>
      <c r="Z9" s="76">
        <f>IFERROR(INDEX(Model_Data!$A$4:$AG$34,MATCH(Z$3,Model_Data!$A$4:$A$34,0),MATCH("Revenue - Karate",Model_Data!$A$3:$AG$3,0)),"")</f>
        <v>3593.75</v>
      </c>
      <c r="AA9" s="76">
        <f>IFERROR(INDEX(Model_Data!$A$4:$AG$34,MATCH(AA$3,Model_Data!$A$4:$A$34,0),MATCH("Revenue - Karate",Model_Data!$A$3:$AG$3,0)),"")</f>
        <v>3125</v>
      </c>
      <c r="AB9" s="76">
        <f>IFERROR(INDEX(Model_Data!$A$4:$AG$34,MATCH(AB$3,Model_Data!$A$4:$A$34,0),MATCH("Revenue - Karate",Model_Data!$A$3:$AG$3,0)),"")</f>
        <v>3983.75</v>
      </c>
      <c r="AC9" s="76">
        <f>IFERROR(INDEX(Model_Data!$A$4:$AG$34,MATCH(AC$3,Model_Data!$A$4:$A$34,0),MATCH("Revenue - Karate",Model_Data!$A$3:$AG$3,0)),"")</f>
        <v>3281.25</v>
      </c>
      <c r="AD9" s="76">
        <f>IFERROR(INDEX(Model_Data!$A$4:$AG$34,MATCH(AD$3,Model_Data!$A$4:$A$34,0),MATCH("Revenue - Karate",Model_Data!$A$3:$AG$3,0)),"")</f>
        <v>3875</v>
      </c>
      <c r="AE9" s="76">
        <f>IFERROR(INDEX(Model_Data!$A$4:$AG$34,MATCH(AE$3,Model_Data!$A$4:$A$34,0),MATCH("Revenue - Karate",Model_Data!$A$3:$AG$3,0)),"")</f>
        <v>3437.5</v>
      </c>
      <c r="AF9" s="76">
        <f>IFERROR(INDEX(Model_Data!$A$4:$AG$34,MATCH(AF$3,Model_Data!$A$4:$A$34,0),MATCH("Revenue - Karate",Model_Data!$A$3:$AG$3,0)),"")</f>
        <v>2560</v>
      </c>
      <c r="AG9" s="76">
        <f>IFERROR(INDEX(Model_Data!$A$4:$AG$34,MATCH(AG$3,Model_Data!$A$4:$A$34,0),MATCH("Revenue - Karate",Model_Data!$A$3:$AG$3,0)),"")</f>
        <v>625</v>
      </c>
      <c r="AH9" s="77">
        <f>SUM(C9:AG9)</f>
        <v>58418.75</v>
      </c>
    </row>
    <row r="10" spans="1:34" ht="15" customHeight="1">
      <c r="A10" s="16" t="s">
        <v>265</v>
      </c>
      <c r="B10" s="78" t="s">
        <v>266</v>
      </c>
      <c r="C10" s="79">
        <f>IFERROR(INDEX(Model_Data!$A$4:$AG$34,MATCH(C$3,Model_Data!$A$4:$A$34,0),MATCH("Revenue - Gymnastics",Model_Data!$A$3:$AG$3,0)),"")</f>
        <v>300</v>
      </c>
      <c r="D10" s="79">
        <f>IFERROR(INDEX(Model_Data!$A$4:$AG$34,MATCH(D$3,Model_Data!$A$4:$A$34,0),MATCH("Revenue - Gymnastics",Model_Data!$A$3:$AG$3,0)),"")</f>
        <v>900</v>
      </c>
      <c r="E10" s="79">
        <f>IFERROR(INDEX(Model_Data!$A$4:$AG$34,MATCH(E$3,Model_Data!$A$4:$A$34,0),MATCH("Revenue - Gymnastics",Model_Data!$A$3:$AG$3,0)),"")</f>
        <v>1437.5</v>
      </c>
      <c r="F10" s="79">
        <f>IFERROR(INDEX(Model_Data!$A$4:$AG$34,MATCH(F$3,Model_Data!$A$4:$A$34,0),MATCH("Revenue - Gymnastics",Model_Data!$A$3:$AG$3,0)),"")</f>
        <v>1075</v>
      </c>
      <c r="G10" s="79">
        <f>IFERROR(INDEX(Model_Data!$A$4:$AG$34,MATCH(G$3,Model_Data!$A$4:$A$34,0),MATCH("Revenue - Gymnastics",Model_Data!$A$3:$AG$3,0)),"")</f>
        <v>1475</v>
      </c>
      <c r="H10" s="79">
        <f>IFERROR(INDEX(Model_Data!$A$4:$AG$34,MATCH(H$3,Model_Data!$A$4:$A$34,0),MATCH("Revenue - Gymnastics",Model_Data!$A$3:$AG$3,0)),"")</f>
        <v>593.75</v>
      </c>
      <c r="I10" s="79">
        <f>IFERROR(INDEX(Model_Data!$A$4:$AG$34,MATCH(I$3,Model_Data!$A$4:$A$34,0),MATCH("Revenue - Gymnastics",Model_Data!$A$3:$AG$3,0)),"")</f>
        <v>1162.5</v>
      </c>
      <c r="J10" s="79">
        <f>IFERROR(INDEX(Model_Data!$A$4:$AG$34,MATCH(J$3,Model_Data!$A$4:$A$34,0),MATCH("Revenue - Gymnastics",Model_Data!$A$3:$AG$3,0)),"")</f>
        <v>875</v>
      </c>
      <c r="K10" s="79">
        <f>IFERROR(INDEX(Model_Data!$A$4:$AG$34,MATCH(K$3,Model_Data!$A$4:$A$34,0),MATCH("Revenue - Gymnastics",Model_Data!$A$3:$AG$3,0)),"")</f>
        <v>0</v>
      </c>
      <c r="L10" s="79">
        <f>IFERROR(INDEX(Model_Data!$A$4:$AG$34,MATCH(L$3,Model_Data!$A$4:$A$34,0),MATCH("Revenue - Gymnastics",Model_Data!$A$3:$AG$3,0)),"")</f>
        <v>0</v>
      </c>
      <c r="M10" s="79">
        <f>IFERROR(INDEX(Model_Data!$A$4:$AG$34,MATCH(M$3,Model_Data!$A$4:$A$34,0),MATCH("Revenue - Gymnastics",Model_Data!$A$3:$AG$3,0)),"")</f>
        <v>0</v>
      </c>
      <c r="N10" s="79">
        <f>IFERROR(INDEX(Model_Data!$A$4:$AG$34,MATCH(N$3,Model_Data!$A$4:$A$34,0),MATCH("Revenue - Gymnastics",Model_Data!$A$3:$AG$3,0)),"")</f>
        <v>0</v>
      </c>
      <c r="O10" s="79">
        <f>IFERROR(INDEX(Model_Data!$A$4:$AG$34,MATCH(O$3,Model_Data!$A$4:$A$34,0),MATCH("Revenue - Gymnastics",Model_Data!$A$3:$AG$3,0)),"")</f>
        <v>0</v>
      </c>
      <c r="P10" s="79">
        <f>IFERROR(INDEX(Model_Data!$A$4:$AG$34,MATCH(P$3,Model_Data!$A$4:$A$34,0),MATCH("Revenue - Gymnastics",Model_Data!$A$3:$AG$3,0)),"")</f>
        <v>0</v>
      </c>
      <c r="Q10" s="79">
        <f>IFERROR(INDEX(Model_Data!$A$4:$AG$34,MATCH(Q$3,Model_Data!$A$4:$A$34,0),MATCH("Revenue - Gymnastics",Model_Data!$A$3:$AG$3,0)),"")</f>
        <v>0</v>
      </c>
      <c r="R10" s="79">
        <f>IFERROR(INDEX(Model_Data!$A$4:$AG$34,MATCH(R$3,Model_Data!$A$4:$A$34,0),MATCH("Revenue - Gymnastics",Model_Data!$A$3:$AG$3,0)),"")</f>
        <v>0</v>
      </c>
      <c r="S10" s="79">
        <f>IFERROR(INDEX(Model_Data!$A$4:$AG$34,MATCH(S$3,Model_Data!$A$4:$A$34,0),MATCH("Revenue - Gymnastics",Model_Data!$A$3:$AG$3,0)),"")</f>
        <v>0</v>
      </c>
      <c r="T10" s="79">
        <f>IFERROR(INDEX(Model_Data!$A$4:$AG$34,MATCH(T$3,Model_Data!$A$4:$A$34,0),MATCH("Revenue - Gymnastics",Model_Data!$A$3:$AG$3,0)),"")</f>
        <v>0</v>
      </c>
      <c r="U10" s="79">
        <f>IFERROR(INDEX(Model_Data!$A$4:$AG$34,MATCH(U$3,Model_Data!$A$4:$A$34,0),MATCH("Revenue - Gymnastics",Model_Data!$A$3:$AG$3,0)),"")</f>
        <v>0</v>
      </c>
      <c r="V10" s="79">
        <f>IFERROR(INDEX(Model_Data!$A$4:$AG$34,MATCH(V$3,Model_Data!$A$4:$A$34,0),MATCH("Revenue - Gymnastics",Model_Data!$A$3:$AG$3,0)),"")</f>
        <v>0</v>
      </c>
      <c r="W10" s="79">
        <f>IFERROR(INDEX(Model_Data!$A$4:$AG$34,MATCH(W$3,Model_Data!$A$4:$A$34,0),MATCH("Revenue - Gymnastics",Model_Data!$A$3:$AG$3,0)),"")</f>
        <v>0</v>
      </c>
      <c r="X10" s="79">
        <f>IFERROR(INDEX(Model_Data!$A$4:$AG$34,MATCH(X$3,Model_Data!$A$4:$A$34,0),MATCH("Revenue - Gymnastics",Model_Data!$A$3:$AG$3,0)),"")</f>
        <v>0</v>
      </c>
      <c r="Y10" s="79">
        <f>IFERROR(INDEX(Model_Data!$A$4:$AG$34,MATCH(Y$3,Model_Data!$A$4:$A$34,0),MATCH("Revenue - Gymnastics",Model_Data!$A$3:$AG$3,0)),"")</f>
        <v>0</v>
      </c>
      <c r="Z10" s="79">
        <f>IFERROR(INDEX(Model_Data!$A$4:$AG$34,MATCH(Z$3,Model_Data!$A$4:$A$34,0),MATCH("Revenue - Gymnastics",Model_Data!$A$3:$AG$3,0)),"")</f>
        <v>0</v>
      </c>
      <c r="AA10" s="79">
        <f>IFERROR(INDEX(Model_Data!$A$4:$AG$34,MATCH(AA$3,Model_Data!$A$4:$A$34,0),MATCH("Revenue - Gymnastics",Model_Data!$A$3:$AG$3,0)),"")</f>
        <v>0</v>
      </c>
      <c r="AB10" s="79">
        <f>IFERROR(INDEX(Model_Data!$A$4:$AG$34,MATCH(AB$3,Model_Data!$A$4:$A$34,0),MATCH("Revenue - Gymnastics",Model_Data!$A$3:$AG$3,0)),"")</f>
        <v>0</v>
      </c>
      <c r="AC10" s="79">
        <f>IFERROR(INDEX(Model_Data!$A$4:$AG$34,MATCH(AC$3,Model_Data!$A$4:$A$34,0),MATCH("Revenue - Gymnastics",Model_Data!$A$3:$AG$3,0)),"")</f>
        <v>0</v>
      </c>
      <c r="AD10" s="79">
        <f>IFERROR(INDEX(Model_Data!$A$4:$AG$34,MATCH(AD$3,Model_Data!$A$4:$A$34,0),MATCH("Revenue - Gymnastics",Model_Data!$A$3:$AG$3,0)),"")</f>
        <v>0</v>
      </c>
      <c r="AE10" s="79">
        <f>IFERROR(INDEX(Model_Data!$A$4:$AG$34,MATCH(AE$3,Model_Data!$A$4:$A$34,0),MATCH("Revenue - Gymnastics",Model_Data!$A$3:$AG$3,0)),"")</f>
        <v>0</v>
      </c>
      <c r="AF10" s="79">
        <f>IFERROR(INDEX(Model_Data!$A$4:$AG$34,MATCH(AF$3,Model_Data!$A$4:$A$34,0),MATCH("Revenue - Gymnastics",Model_Data!$A$3:$AG$3,0)),"")</f>
        <v>0</v>
      </c>
      <c r="AG10" s="79">
        <f>IFERROR(INDEX(Model_Data!$A$4:$AG$34,MATCH(AG$3,Model_Data!$A$4:$A$34,0),MATCH("Revenue - Gymnastics",Model_Data!$A$3:$AG$3,0)),"")</f>
        <v>0</v>
      </c>
      <c r="AH10" s="80">
        <f>SUM(C10:AG10)</f>
        <v>7818.75</v>
      </c>
    </row>
    <row r="11" spans="1:34" ht="15.75" customHeight="1">
      <c r="A11" s="81" t="s">
        <v>267</v>
      </c>
      <c r="B11" s="82"/>
      <c r="C11" s="83">
        <f>SUM(C7:C10)</f>
        <v>1675</v>
      </c>
      <c r="D11" s="83">
        <f>SUM(D7:D10)</f>
        <v>2775</v>
      </c>
      <c r="E11" s="83">
        <f>SUM(E7:E10)</f>
        <v>4675</v>
      </c>
      <c r="F11" s="83">
        <f>SUM(F7:F10)</f>
        <v>4237.5</v>
      </c>
      <c r="G11" s="83">
        <f>SUM(G7:G10)</f>
        <v>4906.25</v>
      </c>
      <c r="H11" s="83">
        <f>SUM(H7:H10)</f>
        <v>5243.75</v>
      </c>
      <c r="I11" s="83">
        <f>SUM(I7:I10)</f>
        <v>6237.5</v>
      </c>
      <c r="J11" s="83">
        <f>SUM(J7:J10)</f>
        <v>6087.5</v>
      </c>
      <c r="K11" s="83">
        <f>SUM(K7:K10)</f>
        <v>10075</v>
      </c>
      <c r="L11" s="83">
        <f>SUM(L7:L10)</f>
        <v>8568.75</v>
      </c>
      <c r="M11" s="83">
        <f>SUM(M7:M10)</f>
        <v>7381.25</v>
      </c>
      <c r="N11" s="83">
        <f>SUM(N7:N10)</f>
        <v>8325</v>
      </c>
      <c r="O11" s="83">
        <f>SUM(O7:O10)</f>
        <v>6631.25</v>
      </c>
      <c r="P11" s="83">
        <f>SUM(P7:P10)</f>
        <v>6543.75</v>
      </c>
      <c r="Q11" s="83">
        <f>SUM(Q7:Q10)</f>
        <v>10762.5</v>
      </c>
      <c r="R11" s="83">
        <f>SUM(R7:R10)</f>
        <v>11428.119999999999</v>
      </c>
      <c r="S11" s="83">
        <f>SUM(S7:S10)</f>
        <v>9775</v>
      </c>
      <c r="T11" s="83">
        <f>SUM(T7:T10)</f>
        <v>8250</v>
      </c>
      <c r="U11" s="83">
        <f>SUM(U7:U10)</f>
        <v>6808.75</v>
      </c>
      <c r="V11" s="83">
        <f>SUM(V7:V10)</f>
        <v>7800</v>
      </c>
      <c r="W11" s="83">
        <f>SUM(W7:W10)</f>
        <v>10862.5</v>
      </c>
      <c r="X11" s="83">
        <f>SUM(X7:X10)</f>
        <v>10206.25</v>
      </c>
      <c r="Y11" s="83">
        <f>SUM(Y7:Y10)</f>
        <v>10756.25</v>
      </c>
      <c r="Z11" s="83">
        <f>SUM(Z7:Z10)</f>
        <v>10175</v>
      </c>
      <c r="AA11" s="83">
        <f>SUM(AA7:AA10)</f>
        <v>11217.5</v>
      </c>
      <c r="AB11" s="83">
        <f>SUM(AB7:AB10)</f>
        <v>10638</v>
      </c>
      <c r="AC11" s="83">
        <f>SUM(AC7:AC10)</f>
        <v>11218.75</v>
      </c>
      <c r="AD11" s="83">
        <f>SUM(AD7:AD10)</f>
        <v>9862.5</v>
      </c>
      <c r="AE11" s="83">
        <f>SUM(AE7:AE10)</f>
        <v>10968.75</v>
      </c>
      <c r="AF11" s="83">
        <f>SUM(AF7:AF10)</f>
        <v>6938.75</v>
      </c>
      <c r="AG11" s="83">
        <f>SUM(AG7:AG10)</f>
        <v>3937.5</v>
      </c>
      <c r="AH11" s="83">
        <f>SUM(AH7:AH10)</f>
        <v>244968.62</v>
      </c>
    </row>
    <row r="12" spans="1:34" ht="4.5" customHeight="1">
      <c r="A12" s="84"/>
      <c r="B12" s="84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5"/>
      <c r="AG12" s="85"/>
      <c r="AH12" s="85"/>
    </row>
    <row r="13" spans="1:34" ht="15" customHeight="1">
      <c r="A13" s="268" t="s">
        <v>268</v>
      </c>
      <c r="B13" s="268"/>
      <c r="C13" s="268"/>
      <c r="D13" s="268"/>
      <c r="E13" s="268"/>
      <c r="F13" s="268"/>
      <c r="G13" s="268"/>
      <c r="H13" s="268"/>
      <c r="I13" s="268"/>
      <c r="J13" s="268"/>
      <c r="K13" s="268"/>
      <c r="L13" s="268"/>
      <c r="M13" s="268"/>
      <c r="N13" s="268"/>
      <c r="O13" s="268"/>
      <c r="P13" s="268"/>
      <c r="Q13" s="268"/>
      <c r="R13" s="268"/>
      <c r="S13" s="268"/>
      <c r="T13" s="268"/>
      <c r="U13" s="268"/>
      <c r="V13" s="268"/>
      <c r="W13" s="268"/>
      <c r="X13" s="268"/>
      <c r="Y13" s="268"/>
      <c r="Z13" s="268"/>
      <c r="AA13" s="268"/>
      <c r="AB13" s="268"/>
      <c r="AC13" s="268"/>
      <c r="AD13" s="268"/>
      <c r="AE13" s="268"/>
      <c r="AF13" s="268"/>
      <c r="AG13" s="268"/>
      <c r="AH13" s="268"/>
    </row>
    <row r="14" spans="1:34" ht="15" customHeight="1">
      <c r="A14" s="74" t="s">
        <v>269</v>
      </c>
      <c r="B14" s="75" t="s">
        <v>270</v>
      </c>
      <c r="C14" s="76">
        <f>IFERROR(INDEX(Model_Data!$A$4:$AG$34,MATCH(C$3,Model_Data!$A$4:$A$34,0),MATCH("Revenue - Ballet Shoes",Model_Data!$A$3:$AG$3,0)),"")</f>
        <v>0</v>
      </c>
      <c r="D14" s="76">
        <f>IFERROR(INDEX(Model_Data!$A$4:$AG$34,MATCH(D$3,Model_Data!$A$4:$A$34,0),MATCH("Revenue - Ballet Shoes",Model_Data!$A$3:$AG$3,0)),"")</f>
        <v>0</v>
      </c>
      <c r="E14" s="76">
        <f>IFERROR(INDEX(Model_Data!$A$4:$AG$34,MATCH(E$3,Model_Data!$A$4:$A$34,0),MATCH("Revenue - Ballet Shoes",Model_Data!$A$3:$AG$3,0)),"")</f>
        <v>225</v>
      </c>
      <c r="F14" s="76">
        <f>IFERROR(INDEX(Model_Data!$A$4:$AG$34,MATCH(F$3,Model_Data!$A$4:$A$34,0),MATCH("Revenue - Ballet Shoes",Model_Data!$A$3:$AG$3,0)),"")</f>
        <v>50</v>
      </c>
      <c r="G14" s="76">
        <f>IFERROR(INDEX(Model_Data!$A$4:$AG$34,MATCH(G$3,Model_Data!$A$4:$A$34,0),MATCH("Revenue - Ballet Shoes",Model_Data!$A$3:$AG$3,0)),"")</f>
        <v>50</v>
      </c>
      <c r="H14" s="76">
        <f>IFERROR(INDEX(Model_Data!$A$4:$AG$34,MATCH(H$3,Model_Data!$A$4:$A$34,0),MATCH("Revenue - Ballet Shoes",Model_Data!$A$3:$AG$3,0)),"")</f>
        <v>0</v>
      </c>
      <c r="I14" s="76">
        <f>IFERROR(INDEX(Model_Data!$A$4:$AG$34,MATCH(I$3,Model_Data!$A$4:$A$34,0),MATCH("Revenue - Ballet Shoes",Model_Data!$A$3:$AG$3,0)),"")</f>
        <v>87.5</v>
      </c>
      <c r="J14" s="76">
        <f>IFERROR(INDEX(Model_Data!$A$4:$AG$34,MATCH(J$3,Model_Data!$A$4:$A$34,0),MATCH("Revenue - Ballet Shoes",Model_Data!$A$3:$AG$3,0)),"")</f>
        <v>0</v>
      </c>
      <c r="K14" s="76">
        <f>IFERROR(INDEX(Model_Data!$A$4:$AG$34,MATCH(K$3,Model_Data!$A$4:$A$34,0),MATCH("Revenue - Ballet Shoes",Model_Data!$A$3:$AG$3,0)),"")</f>
        <v>93.75</v>
      </c>
      <c r="L14" s="76">
        <f>IFERROR(INDEX(Model_Data!$A$4:$AG$34,MATCH(L$3,Model_Data!$A$4:$A$34,0),MATCH("Revenue - Ballet Shoes",Model_Data!$A$3:$AG$3,0)),"")</f>
        <v>0</v>
      </c>
      <c r="M14" s="76">
        <f>IFERROR(INDEX(Model_Data!$A$4:$AG$34,MATCH(M$3,Model_Data!$A$4:$A$34,0),MATCH("Revenue - Ballet Shoes",Model_Data!$A$3:$AG$3,0)),"")</f>
        <v>62.5</v>
      </c>
      <c r="N14" s="76">
        <f>IFERROR(INDEX(Model_Data!$A$4:$AG$34,MATCH(N$3,Model_Data!$A$4:$A$34,0),MATCH("Revenue - Ballet Shoes",Model_Data!$A$3:$AG$3,0)),"")</f>
        <v>0</v>
      </c>
      <c r="O14" s="76">
        <f>IFERROR(INDEX(Model_Data!$A$4:$AG$34,MATCH(O$3,Model_Data!$A$4:$A$34,0),MATCH("Revenue - Ballet Shoes",Model_Data!$A$3:$AG$3,0)),"")</f>
        <v>0</v>
      </c>
      <c r="P14" s="76">
        <f>IFERROR(INDEX(Model_Data!$A$4:$AG$34,MATCH(P$3,Model_Data!$A$4:$A$34,0),MATCH("Revenue - Ballet Shoes",Model_Data!$A$3:$AG$3,0)),"")</f>
        <v>95</v>
      </c>
      <c r="Q14" s="76">
        <f>IFERROR(INDEX(Model_Data!$A$4:$AG$34,MATCH(Q$3,Model_Data!$A$4:$A$34,0),MATCH("Revenue - Ballet Shoes",Model_Data!$A$3:$AG$3,0)),"")</f>
        <v>125</v>
      </c>
      <c r="R14" s="76">
        <f>IFERROR(INDEX(Model_Data!$A$4:$AG$34,MATCH(R$3,Model_Data!$A$4:$A$34,0),MATCH("Revenue - Ballet Shoes",Model_Data!$A$3:$AG$3,0)),"")</f>
        <v>156.25</v>
      </c>
      <c r="S14" s="76">
        <f>IFERROR(INDEX(Model_Data!$A$4:$AG$34,MATCH(S$3,Model_Data!$A$4:$A$34,0),MATCH("Revenue - Ballet Shoes",Model_Data!$A$3:$AG$3,0)),"")</f>
        <v>62.5</v>
      </c>
      <c r="T14" s="76">
        <f>IFERROR(INDEX(Model_Data!$A$4:$AG$34,MATCH(T$3,Model_Data!$A$4:$A$34,0),MATCH("Revenue - Ballet Shoes",Model_Data!$A$3:$AG$3,0)),"")</f>
        <v>93.75</v>
      </c>
      <c r="U14" s="76">
        <f>IFERROR(INDEX(Model_Data!$A$4:$AG$34,MATCH(U$3,Model_Data!$A$4:$A$34,0),MATCH("Revenue - Ballet Shoes",Model_Data!$A$3:$AG$3,0)),"")</f>
        <v>31.25</v>
      </c>
      <c r="V14" s="76">
        <f>IFERROR(INDEX(Model_Data!$A$4:$AG$34,MATCH(V$3,Model_Data!$A$4:$A$34,0),MATCH("Revenue - Ballet Shoes",Model_Data!$A$3:$AG$3,0)),"")</f>
        <v>0</v>
      </c>
      <c r="W14" s="76">
        <f>IFERROR(INDEX(Model_Data!$A$4:$AG$34,MATCH(W$3,Model_Data!$A$4:$A$34,0),MATCH("Revenue - Ballet Shoes",Model_Data!$A$3:$AG$3,0)),"")</f>
        <v>62.5</v>
      </c>
      <c r="X14" s="76">
        <f>IFERROR(INDEX(Model_Data!$A$4:$AG$34,MATCH(X$3,Model_Data!$A$4:$A$34,0),MATCH("Revenue - Ballet Shoes",Model_Data!$A$3:$AG$3,0)),"")</f>
        <v>75</v>
      </c>
      <c r="Y14" s="76">
        <f>IFERROR(INDEX(Model_Data!$A$4:$AG$34,MATCH(Y$3,Model_Data!$A$4:$A$34,0),MATCH("Revenue - Ballet Shoes",Model_Data!$A$3:$AG$3,0)),"")</f>
        <v>37.5</v>
      </c>
      <c r="Z14" s="76">
        <f>IFERROR(INDEX(Model_Data!$A$4:$AG$34,MATCH(Z$3,Model_Data!$A$4:$A$34,0),MATCH("Revenue - Ballet Shoes",Model_Data!$A$3:$AG$3,0)),"")</f>
        <v>187.5</v>
      </c>
      <c r="AA14" s="76">
        <f>IFERROR(INDEX(Model_Data!$A$4:$AG$34,MATCH(AA$3,Model_Data!$A$4:$A$34,0),MATCH("Revenue - Ballet Shoes",Model_Data!$A$3:$AG$3,0)),"")</f>
        <v>0</v>
      </c>
      <c r="AB14" s="76">
        <f>IFERROR(INDEX(Model_Data!$A$4:$AG$34,MATCH(AB$3,Model_Data!$A$4:$A$34,0),MATCH("Revenue - Ballet Shoes",Model_Data!$A$3:$AG$3,0)),"")</f>
        <v>0</v>
      </c>
      <c r="AC14" s="76">
        <f>IFERROR(INDEX(Model_Data!$A$4:$AG$34,MATCH(AC$3,Model_Data!$A$4:$A$34,0),MATCH("Revenue - Ballet Shoes",Model_Data!$A$3:$AG$3,0)),"")</f>
        <v>81.25</v>
      </c>
      <c r="AD14" s="76">
        <f>IFERROR(INDEX(Model_Data!$A$4:$AG$34,MATCH(AD$3,Model_Data!$A$4:$A$34,0),MATCH("Revenue - Ballet Shoes",Model_Data!$A$3:$AG$3,0)),"")</f>
        <v>37.5</v>
      </c>
      <c r="AE14" s="76">
        <f>IFERROR(INDEX(Model_Data!$A$4:$AG$34,MATCH(AE$3,Model_Data!$A$4:$A$34,0),MATCH("Revenue - Ballet Shoes",Model_Data!$A$3:$AG$3,0)),"")</f>
        <v>0</v>
      </c>
      <c r="AF14" s="76">
        <f>IFERROR(INDEX(Model_Data!$A$4:$AG$34,MATCH(AF$3,Model_Data!$A$4:$A$34,0),MATCH("Revenue - Ballet Shoes",Model_Data!$A$3:$AG$3,0)),"")</f>
        <v>37.5</v>
      </c>
      <c r="AG14" s="76">
        <f>IFERROR(INDEX(Model_Data!$A$4:$AG$34,MATCH(AG$3,Model_Data!$A$4:$A$34,0),MATCH("Revenue - Ballet Shoes",Model_Data!$A$3:$AG$3,0)),"")</f>
        <v>0</v>
      </c>
      <c r="AH14" s="77">
        <f>SUM(C14:AG14)</f>
        <v>1651.25</v>
      </c>
    </row>
    <row r="15" spans="1:34" ht="15" customHeight="1">
      <c r="A15" s="16" t="s">
        <v>271</v>
      </c>
      <c r="B15" s="78" t="s">
        <v>272</v>
      </c>
      <c r="C15" s="79">
        <f>IFERROR(INDEX(Model_Data!$A$4:$AG$34,MATCH(C$3,Model_Data!$A$4:$A$34,0),MATCH("Revenue - Gymnastic Suits",Model_Data!$A$3:$AG$3,0)),"")</f>
        <v>0</v>
      </c>
      <c r="D15" s="79">
        <f>IFERROR(INDEX(Model_Data!$A$4:$AG$34,MATCH(D$3,Model_Data!$A$4:$A$34,0),MATCH("Revenue - Gymnastic Suits",Model_Data!$A$3:$AG$3,0)),"")</f>
        <v>0</v>
      </c>
      <c r="E15" s="79">
        <f>IFERROR(INDEX(Model_Data!$A$4:$AG$34,MATCH(E$3,Model_Data!$A$4:$A$34,0),MATCH("Revenue - Gymnastic Suits",Model_Data!$A$3:$AG$3,0)),"")</f>
        <v>375</v>
      </c>
      <c r="F15" s="79">
        <f>IFERROR(INDEX(Model_Data!$A$4:$AG$34,MATCH(F$3,Model_Data!$A$4:$A$34,0),MATCH("Revenue - Gymnastic Suits",Model_Data!$A$3:$AG$3,0)),"")</f>
        <v>250</v>
      </c>
      <c r="G15" s="79">
        <f>IFERROR(INDEX(Model_Data!$A$4:$AG$34,MATCH(G$3,Model_Data!$A$4:$A$34,0),MATCH("Revenue - Gymnastic Suits",Model_Data!$A$3:$AG$3,0)),"")</f>
        <v>312.5</v>
      </c>
      <c r="H15" s="79">
        <f>IFERROR(INDEX(Model_Data!$A$4:$AG$34,MATCH(H$3,Model_Data!$A$4:$A$34,0),MATCH("Revenue - Gymnastic Suits",Model_Data!$A$3:$AG$3,0)),"")</f>
        <v>0</v>
      </c>
      <c r="I15" s="79">
        <f>IFERROR(INDEX(Model_Data!$A$4:$AG$34,MATCH(I$3,Model_Data!$A$4:$A$34,0),MATCH("Revenue - Gymnastic Suits",Model_Data!$A$3:$AG$3,0)),"")</f>
        <v>0</v>
      </c>
      <c r="J15" s="79">
        <f>IFERROR(INDEX(Model_Data!$A$4:$AG$34,MATCH(J$3,Model_Data!$A$4:$A$34,0),MATCH("Revenue - Gymnastic Suits",Model_Data!$A$3:$AG$3,0)),"")</f>
        <v>243.75</v>
      </c>
      <c r="K15" s="79">
        <f>IFERROR(INDEX(Model_Data!$A$4:$AG$34,MATCH(K$3,Model_Data!$A$4:$A$34,0),MATCH("Revenue - Gymnastic Suits",Model_Data!$A$3:$AG$3,0)),"")</f>
        <v>650</v>
      </c>
      <c r="L15" s="79">
        <f>IFERROR(INDEX(Model_Data!$A$4:$AG$34,MATCH(L$3,Model_Data!$A$4:$A$34,0),MATCH("Revenue - Gymnastic Suits",Model_Data!$A$3:$AG$3,0)),"")</f>
        <v>0</v>
      </c>
      <c r="M15" s="79">
        <f>IFERROR(INDEX(Model_Data!$A$4:$AG$34,MATCH(M$3,Model_Data!$A$4:$A$34,0),MATCH("Revenue - Gymnastic Suits",Model_Data!$A$3:$AG$3,0)),"")</f>
        <v>0</v>
      </c>
      <c r="N15" s="79">
        <f>IFERROR(INDEX(Model_Data!$A$4:$AG$34,MATCH(N$3,Model_Data!$A$4:$A$34,0),MATCH("Revenue - Gymnastic Suits",Model_Data!$A$3:$AG$3,0)),"")</f>
        <v>243.75</v>
      </c>
      <c r="O15" s="79">
        <f>IFERROR(INDEX(Model_Data!$A$4:$AG$34,MATCH(O$3,Model_Data!$A$4:$A$34,0),MATCH("Revenue - Gymnastic Suits",Model_Data!$A$3:$AG$3,0)),"")</f>
        <v>0</v>
      </c>
      <c r="P15" s="79">
        <f>IFERROR(INDEX(Model_Data!$A$4:$AG$34,MATCH(P$3,Model_Data!$A$4:$A$34,0),MATCH("Revenue - Gymnastic Suits",Model_Data!$A$3:$AG$3,0)),"")</f>
        <v>0</v>
      </c>
      <c r="Q15" s="79">
        <f>IFERROR(INDEX(Model_Data!$A$4:$AG$34,MATCH(Q$3,Model_Data!$A$4:$A$34,0),MATCH("Revenue - Gymnastic Suits",Model_Data!$A$3:$AG$3,0)),"")</f>
        <v>325</v>
      </c>
      <c r="R15" s="79">
        <f>IFERROR(INDEX(Model_Data!$A$4:$AG$34,MATCH(R$3,Model_Data!$A$4:$A$34,0),MATCH("Revenue - Gymnastic Suits",Model_Data!$A$3:$AG$3,0)),"")</f>
        <v>543.75</v>
      </c>
      <c r="S15" s="79">
        <f>IFERROR(INDEX(Model_Data!$A$4:$AG$34,MATCH(S$3,Model_Data!$A$4:$A$34,0),MATCH("Revenue - Gymnastic Suits",Model_Data!$A$3:$AG$3,0)),"")</f>
        <v>300</v>
      </c>
      <c r="T15" s="79">
        <f>IFERROR(INDEX(Model_Data!$A$4:$AG$34,MATCH(T$3,Model_Data!$A$4:$A$34,0),MATCH("Revenue - Gymnastic Suits",Model_Data!$A$3:$AG$3,0)),"")</f>
        <v>206.25</v>
      </c>
      <c r="U15" s="79">
        <f>IFERROR(INDEX(Model_Data!$A$4:$AG$34,MATCH(U$3,Model_Data!$A$4:$A$34,0),MATCH("Revenue - Gymnastic Suits",Model_Data!$A$3:$AG$3,0)),"")</f>
        <v>100</v>
      </c>
      <c r="V15" s="79">
        <f>IFERROR(INDEX(Model_Data!$A$4:$AG$34,MATCH(V$3,Model_Data!$A$4:$A$34,0),MATCH("Revenue - Gymnastic Suits",Model_Data!$A$3:$AG$3,0)),"")</f>
        <v>0</v>
      </c>
      <c r="W15" s="79">
        <f>IFERROR(INDEX(Model_Data!$A$4:$AG$34,MATCH(W$3,Model_Data!$A$4:$A$34,0),MATCH("Revenue - Gymnastic Suits",Model_Data!$A$3:$AG$3,0)),"")</f>
        <v>106.25</v>
      </c>
      <c r="X15" s="79">
        <f>IFERROR(INDEX(Model_Data!$A$4:$AG$34,MATCH(X$3,Model_Data!$A$4:$A$34,0),MATCH("Revenue - Gymnastic Suits",Model_Data!$A$3:$AG$3,0)),"")</f>
        <v>212.5</v>
      </c>
      <c r="Y15" s="79">
        <f>IFERROR(INDEX(Model_Data!$A$4:$AG$34,MATCH(Y$3,Model_Data!$A$4:$A$34,0),MATCH("Revenue - Gymnastic Suits",Model_Data!$A$3:$AG$3,0)),"")</f>
        <v>0</v>
      </c>
      <c r="Z15" s="79">
        <f>IFERROR(INDEX(Model_Data!$A$4:$AG$34,MATCH(Z$3,Model_Data!$A$4:$A$34,0),MATCH("Revenue - Gymnastic Suits",Model_Data!$A$3:$AG$3,0)),"")</f>
        <v>275</v>
      </c>
      <c r="AA15" s="79">
        <f>IFERROR(INDEX(Model_Data!$A$4:$AG$34,MATCH(AA$3,Model_Data!$A$4:$A$34,0),MATCH("Revenue - Gymnastic Suits",Model_Data!$A$3:$AG$3,0)),"")</f>
        <v>0</v>
      </c>
      <c r="AB15" s="79">
        <f>IFERROR(INDEX(Model_Data!$A$4:$AG$34,MATCH(AB$3,Model_Data!$A$4:$A$34,0),MATCH("Revenue - Gymnastic Suits",Model_Data!$A$3:$AG$3,0)),"")</f>
        <v>212.5</v>
      </c>
      <c r="AC15" s="79">
        <f>IFERROR(INDEX(Model_Data!$A$4:$AG$34,MATCH(AC$3,Model_Data!$A$4:$A$34,0),MATCH("Revenue - Gymnastic Suits",Model_Data!$A$3:$AG$3,0)),"")</f>
        <v>106.25</v>
      </c>
      <c r="AD15" s="79">
        <f>IFERROR(INDEX(Model_Data!$A$4:$AG$34,MATCH(AD$3,Model_Data!$A$4:$A$34,0),MATCH("Revenue - Gymnastic Suits",Model_Data!$A$3:$AG$3,0)),"")</f>
        <v>106.25</v>
      </c>
      <c r="AE15" s="79">
        <f>IFERROR(INDEX(Model_Data!$A$4:$AG$34,MATCH(AE$3,Model_Data!$A$4:$A$34,0),MATCH("Revenue - Gymnastic Suits",Model_Data!$A$3:$AG$3,0)),"")</f>
        <v>0</v>
      </c>
      <c r="AF15" s="79">
        <f>IFERROR(INDEX(Model_Data!$A$4:$AG$34,MATCH(AF$3,Model_Data!$A$4:$A$34,0),MATCH("Revenue - Gymnastic Suits",Model_Data!$A$3:$AG$3,0)),"")</f>
        <v>0</v>
      </c>
      <c r="AG15" s="79">
        <f>IFERROR(INDEX(Model_Data!$A$4:$AG$34,MATCH(AG$3,Model_Data!$A$4:$A$34,0),MATCH("Revenue - Gymnastic Suits",Model_Data!$A$3:$AG$3,0)),"")</f>
        <v>0</v>
      </c>
      <c r="AH15" s="80">
        <f>SUM(C15:AG15)</f>
        <v>4568.75</v>
      </c>
    </row>
    <row r="16" spans="1:34" ht="15" customHeight="1">
      <c r="A16" s="74" t="s">
        <v>273</v>
      </c>
      <c r="B16" s="75" t="s">
        <v>274</v>
      </c>
      <c r="C16" s="76">
        <f>IFERROR(INDEX(Model_Data!$A$4:$AG$34,MATCH(C$3,Model_Data!$A$4:$A$34,0),MATCH("Revenue - Merchandise - Other",Model_Data!$A$3:$AG$3,0)),"")</f>
        <v>0</v>
      </c>
      <c r="D16" s="76">
        <f>IFERROR(INDEX(Model_Data!$A$4:$AG$34,MATCH(D$3,Model_Data!$A$4:$A$34,0),MATCH("Revenue - Merchandise - Other",Model_Data!$A$3:$AG$3,0)),"")</f>
        <v>0</v>
      </c>
      <c r="E16" s="76">
        <f>IFERROR(INDEX(Model_Data!$A$4:$AG$34,MATCH(E$3,Model_Data!$A$4:$A$34,0),MATCH("Revenue - Merchandise - Other",Model_Data!$A$3:$AG$3,0)),"")</f>
        <v>0</v>
      </c>
      <c r="F16" s="76">
        <f>IFERROR(INDEX(Model_Data!$A$4:$AG$34,MATCH(F$3,Model_Data!$A$4:$A$34,0),MATCH("Revenue - Merchandise - Other",Model_Data!$A$3:$AG$3,0)),"")</f>
        <v>0</v>
      </c>
      <c r="G16" s="76">
        <f>IFERROR(INDEX(Model_Data!$A$4:$AG$34,MATCH(G$3,Model_Data!$A$4:$A$34,0),MATCH("Revenue - Merchandise - Other",Model_Data!$A$3:$AG$3,0)),"")</f>
        <v>0</v>
      </c>
      <c r="H16" s="76">
        <f>IFERROR(INDEX(Model_Data!$A$4:$AG$34,MATCH(H$3,Model_Data!$A$4:$A$34,0),MATCH("Revenue - Merchandise - Other",Model_Data!$A$3:$AG$3,0)),"")</f>
        <v>0</v>
      </c>
      <c r="I16" s="76">
        <f>IFERROR(INDEX(Model_Data!$A$4:$AG$34,MATCH(I$3,Model_Data!$A$4:$A$34,0),MATCH("Revenue - Merchandise - Other",Model_Data!$A$3:$AG$3,0)),"")</f>
        <v>0</v>
      </c>
      <c r="J16" s="76">
        <f>IFERROR(INDEX(Model_Data!$A$4:$AG$34,MATCH(J$3,Model_Data!$A$4:$A$34,0),MATCH("Revenue - Merchandise - Other",Model_Data!$A$3:$AG$3,0)),"")</f>
        <v>0</v>
      </c>
      <c r="K16" s="76">
        <f>IFERROR(INDEX(Model_Data!$A$4:$AG$34,MATCH(K$3,Model_Data!$A$4:$A$34,0),MATCH("Revenue - Merchandise - Other",Model_Data!$A$3:$AG$3,0)),"")</f>
        <v>0</v>
      </c>
      <c r="L16" s="76">
        <f>IFERROR(INDEX(Model_Data!$A$4:$AG$34,MATCH(L$3,Model_Data!$A$4:$A$34,0),MATCH("Revenue - Merchandise - Other",Model_Data!$A$3:$AG$3,0)),"")</f>
        <v>0</v>
      </c>
      <c r="M16" s="76">
        <f>IFERROR(INDEX(Model_Data!$A$4:$AG$34,MATCH(M$3,Model_Data!$A$4:$A$34,0),MATCH("Revenue - Merchandise - Other",Model_Data!$A$3:$AG$3,0)),"")</f>
        <v>0</v>
      </c>
      <c r="N16" s="76">
        <f>IFERROR(INDEX(Model_Data!$A$4:$AG$34,MATCH(N$3,Model_Data!$A$4:$A$34,0),MATCH("Revenue - Merchandise - Other",Model_Data!$A$3:$AG$3,0)),"")</f>
        <v>0</v>
      </c>
      <c r="O16" s="76">
        <f>IFERROR(INDEX(Model_Data!$A$4:$AG$34,MATCH(O$3,Model_Data!$A$4:$A$34,0),MATCH("Revenue - Merchandise - Other",Model_Data!$A$3:$AG$3,0)),"")</f>
        <v>0</v>
      </c>
      <c r="P16" s="76">
        <f>IFERROR(INDEX(Model_Data!$A$4:$AG$34,MATCH(P$3,Model_Data!$A$4:$A$34,0),MATCH("Revenue - Merchandise - Other",Model_Data!$A$3:$AG$3,0)),"")</f>
        <v>0</v>
      </c>
      <c r="Q16" s="76">
        <f>IFERROR(INDEX(Model_Data!$A$4:$AG$34,MATCH(Q$3,Model_Data!$A$4:$A$34,0),MATCH("Revenue - Merchandise - Other",Model_Data!$A$3:$AG$3,0)),"")</f>
        <v>0</v>
      </c>
      <c r="R16" s="76">
        <f>IFERROR(INDEX(Model_Data!$A$4:$AG$34,MATCH(R$3,Model_Data!$A$4:$A$34,0),MATCH("Revenue - Merchandise - Other",Model_Data!$A$3:$AG$3,0)),"")</f>
        <v>0</v>
      </c>
      <c r="S16" s="76">
        <f>IFERROR(INDEX(Model_Data!$A$4:$AG$34,MATCH(S$3,Model_Data!$A$4:$A$34,0),MATCH("Revenue - Merchandise - Other",Model_Data!$A$3:$AG$3,0)),"")</f>
        <v>0</v>
      </c>
      <c r="T16" s="76">
        <f>IFERROR(INDEX(Model_Data!$A$4:$AG$34,MATCH(T$3,Model_Data!$A$4:$A$34,0),MATCH("Revenue - Merchandise - Other",Model_Data!$A$3:$AG$3,0)),"")</f>
        <v>0</v>
      </c>
      <c r="U16" s="76">
        <f>IFERROR(INDEX(Model_Data!$A$4:$AG$34,MATCH(U$3,Model_Data!$A$4:$A$34,0),MATCH("Revenue - Merchandise - Other",Model_Data!$A$3:$AG$3,0)),"")</f>
        <v>0</v>
      </c>
      <c r="V16" s="76">
        <f>IFERROR(INDEX(Model_Data!$A$4:$AG$34,MATCH(V$3,Model_Data!$A$4:$A$34,0),MATCH("Revenue - Merchandise - Other",Model_Data!$A$3:$AG$3,0)),"")</f>
        <v>0</v>
      </c>
      <c r="W16" s="76">
        <f>IFERROR(INDEX(Model_Data!$A$4:$AG$34,MATCH(W$3,Model_Data!$A$4:$A$34,0),MATCH("Revenue - Merchandise - Other",Model_Data!$A$3:$AG$3,0)),"")</f>
        <v>0</v>
      </c>
      <c r="X16" s="76">
        <f>IFERROR(INDEX(Model_Data!$A$4:$AG$34,MATCH(X$3,Model_Data!$A$4:$A$34,0),MATCH("Revenue - Merchandise - Other",Model_Data!$A$3:$AG$3,0)),"")</f>
        <v>0</v>
      </c>
      <c r="Y16" s="76">
        <f>IFERROR(INDEX(Model_Data!$A$4:$AG$34,MATCH(Y$3,Model_Data!$A$4:$A$34,0),MATCH("Revenue - Merchandise - Other",Model_Data!$A$3:$AG$3,0)),"")</f>
        <v>0</v>
      </c>
      <c r="Z16" s="76">
        <f>IFERROR(INDEX(Model_Data!$A$4:$AG$34,MATCH(Z$3,Model_Data!$A$4:$A$34,0),MATCH("Revenue - Merchandise - Other",Model_Data!$A$3:$AG$3,0)),"")</f>
        <v>0</v>
      </c>
      <c r="AA16" s="76">
        <f>IFERROR(INDEX(Model_Data!$A$4:$AG$34,MATCH(AA$3,Model_Data!$A$4:$A$34,0),MATCH("Revenue - Merchandise - Other",Model_Data!$A$3:$AG$3,0)),"")</f>
        <v>0</v>
      </c>
      <c r="AB16" s="76">
        <f>IFERROR(INDEX(Model_Data!$A$4:$AG$34,MATCH(AB$3,Model_Data!$A$4:$A$34,0),MATCH("Revenue - Merchandise - Other",Model_Data!$A$3:$AG$3,0)),"")</f>
        <v>0</v>
      </c>
      <c r="AC16" s="76">
        <f>IFERROR(INDEX(Model_Data!$A$4:$AG$34,MATCH(AC$3,Model_Data!$A$4:$A$34,0),MATCH("Revenue - Merchandise - Other",Model_Data!$A$3:$AG$3,0)),"")</f>
        <v>0</v>
      </c>
      <c r="AD16" s="76">
        <f>IFERROR(INDEX(Model_Data!$A$4:$AG$34,MATCH(AD$3,Model_Data!$A$4:$A$34,0),MATCH("Revenue - Merchandise - Other",Model_Data!$A$3:$AG$3,0)),"")</f>
        <v>0</v>
      </c>
      <c r="AE16" s="76">
        <f>IFERROR(INDEX(Model_Data!$A$4:$AG$34,MATCH(AE$3,Model_Data!$A$4:$A$34,0),MATCH("Revenue - Merchandise - Other",Model_Data!$A$3:$AG$3,0)),"")</f>
        <v>0</v>
      </c>
      <c r="AF16" s="76">
        <f>IFERROR(INDEX(Model_Data!$A$4:$AG$34,MATCH(AF$3,Model_Data!$A$4:$A$34,0),MATCH("Revenue - Merchandise - Other",Model_Data!$A$3:$AG$3,0)),"")</f>
        <v>0</v>
      </c>
      <c r="AG16" s="76">
        <f>IFERROR(INDEX(Model_Data!$A$4:$AG$34,MATCH(AG$3,Model_Data!$A$4:$A$34,0),MATCH("Revenue - Merchandise - Other",Model_Data!$A$3:$AG$3,0)),"")</f>
        <v>0</v>
      </c>
      <c r="AH16" s="77">
        <f>SUM(C16:AG16)</f>
        <v>0</v>
      </c>
    </row>
    <row r="17" spans="1:34" ht="15.75" customHeight="1">
      <c r="A17" s="81" t="s">
        <v>275</v>
      </c>
      <c r="B17" s="82"/>
      <c r="C17" s="83">
        <f>SUM(C14:C16)</f>
        <v>0</v>
      </c>
      <c r="D17" s="83">
        <f>SUM(D14:D16)</f>
        <v>0</v>
      </c>
      <c r="E17" s="83">
        <f>SUM(E14:E16)</f>
        <v>600</v>
      </c>
      <c r="F17" s="83">
        <f>SUM(F14:F16)</f>
        <v>300</v>
      </c>
      <c r="G17" s="83">
        <f>SUM(G14:G16)</f>
        <v>362.5</v>
      </c>
      <c r="H17" s="83">
        <f>SUM(H14:H16)</f>
        <v>0</v>
      </c>
      <c r="I17" s="83">
        <f>SUM(I14:I16)</f>
        <v>87.5</v>
      </c>
      <c r="J17" s="83">
        <f>SUM(J14:J16)</f>
        <v>243.75</v>
      </c>
      <c r="K17" s="83">
        <f>SUM(K14:K16)</f>
        <v>743.75</v>
      </c>
      <c r="L17" s="83">
        <f>SUM(L14:L16)</f>
        <v>0</v>
      </c>
      <c r="M17" s="83">
        <f>SUM(M14:M16)</f>
        <v>62.5</v>
      </c>
      <c r="N17" s="83">
        <f>SUM(N14:N16)</f>
        <v>243.75</v>
      </c>
      <c r="O17" s="83">
        <f>SUM(O14:O16)</f>
        <v>0</v>
      </c>
      <c r="P17" s="83">
        <f>SUM(P14:P16)</f>
        <v>95</v>
      </c>
      <c r="Q17" s="83">
        <f>SUM(Q14:Q16)</f>
        <v>450</v>
      </c>
      <c r="R17" s="83">
        <f>SUM(R14:R16)</f>
        <v>700</v>
      </c>
      <c r="S17" s="83">
        <f>SUM(S14:S16)</f>
        <v>362.5</v>
      </c>
      <c r="T17" s="83">
        <f>SUM(T14:T16)</f>
        <v>300</v>
      </c>
      <c r="U17" s="83">
        <f>SUM(U14:U16)</f>
        <v>131.25</v>
      </c>
      <c r="V17" s="83">
        <f>SUM(V14:V16)</f>
        <v>0</v>
      </c>
      <c r="W17" s="83">
        <f>SUM(W14:W16)</f>
        <v>168.75</v>
      </c>
      <c r="X17" s="83">
        <f>SUM(X14:X16)</f>
        <v>287.5</v>
      </c>
      <c r="Y17" s="83">
        <f>SUM(Y14:Y16)</f>
        <v>37.5</v>
      </c>
      <c r="Z17" s="83">
        <f>SUM(Z14:Z16)</f>
        <v>462.5</v>
      </c>
      <c r="AA17" s="83">
        <f>SUM(AA14:AA16)</f>
        <v>0</v>
      </c>
      <c r="AB17" s="83">
        <f>SUM(AB14:AB16)</f>
        <v>212.5</v>
      </c>
      <c r="AC17" s="83">
        <f>SUM(AC14:AC16)</f>
        <v>187.5</v>
      </c>
      <c r="AD17" s="83">
        <f>SUM(AD14:AD16)</f>
        <v>143.75</v>
      </c>
      <c r="AE17" s="83">
        <f>SUM(AE14:AE16)</f>
        <v>0</v>
      </c>
      <c r="AF17" s="83">
        <f>SUM(AF14:AF16)</f>
        <v>37.5</v>
      </c>
      <c r="AG17" s="83">
        <f>SUM(AG14:AG16)</f>
        <v>0</v>
      </c>
      <c r="AH17" s="83">
        <f>SUM(AH14:AH16)</f>
        <v>6220</v>
      </c>
    </row>
    <row r="18" spans="1:34" ht="3.75" customHeight="1">
      <c r="A18" s="84"/>
      <c r="B18" s="84"/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5"/>
      <c r="AG18" s="85"/>
      <c r="AH18" s="85"/>
    </row>
    <row r="19" spans="1:34" ht="15" customHeight="1">
      <c r="A19" s="268" t="s">
        <v>276</v>
      </c>
      <c r="B19" s="268"/>
      <c r="C19" s="268"/>
      <c r="D19" s="268"/>
      <c r="E19" s="268"/>
      <c r="F19" s="268"/>
      <c r="G19" s="268"/>
      <c r="H19" s="268"/>
      <c r="I19" s="268"/>
      <c r="J19" s="268"/>
      <c r="K19" s="268"/>
      <c r="L19" s="268"/>
      <c r="M19" s="268"/>
      <c r="N19" s="268"/>
      <c r="O19" s="268"/>
      <c r="P19" s="268"/>
      <c r="Q19" s="268"/>
      <c r="R19" s="268"/>
      <c r="S19" s="268"/>
      <c r="T19" s="268"/>
      <c r="U19" s="268"/>
      <c r="V19" s="268"/>
      <c r="W19" s="268"/>
      <c r="X19" s="268"/>
      <c r="Y19" s="268"/>
      <c r="Z19" s="268"/>
      <c r="AA19" s="268"/>
      <c r="AB19" s="268"/>
      <c r="AC19" s="268"/>
      <c r="AD19" s="268"/>
      <c r="AE19" s="268"/>
      <c r="AF19" s="268"/>
      <c r="AG19" s="268"/>
      <c r="AH19" s="268"/>
    </row>
    <row r="20" spans="1:34" ht="15" customHeight="1">
      <c r="A20" s="74" t="s">
        <v>277</v>
      </c>
      <c r="B20" s="75" t="s">
        <v>278</v>
      </c>
      <c r="C20" s="76">
        <f>IFERROR(INDEX(Model_Data!$A$4:$AG$34,MATCH(C$3,Model_Data!$A$4:$A$34,0),MATCH("Revenue - Hall Rental Income",Model_Data!$A$3:$AG$3,0)),"")</f>
        <v>0</v>
      </c>
      <c r="D20" s="76">
        <f>IFERROR(INDEX(Model_Data!$A$4:$AG$34,MATCH(D$3,Model_Data!$A$4:$A$34,0),MATCH("Revenue - Hall Rental Income",Model_Data!$A$3:$AG$3,0)),"")</f>
        <v>0</v>
      </c>
      <c r="E20" s="76">
        <f>IFERROR(INDEX(Model_Data!$A$4:$AG$34,MATCH(E$3,Model_Data!$A$4:$A$34,0),MATCH("Revenue - Hall Rental Income",Model_Data!$A$3:$AG$3,0)),"")</f>
        <v>0</v>
      </c>
      <c r="F20" s="76">
        <f>IFERROR(INDEX(Model_Data!$A$4:$AG$34,MATCH(F$3,Model_Data!$A$4:$A$34,0),MATCH("Revenue - Hall Rental Income",Model_Data!$A$3:$AG$3,0)),"")</f>
        <v>0</v>
      </c>
      <c r="G20" s="76">
        <f>IFERROR(INDEX(Model_Data!$A$4:$AG$34,MATCH(G$3,Model_Data!$A$4:$A$34,0),MATCH("Revenue - Hall Rental Income",Model_Data!$A$3:$AG$3,0)),"")</f>
        <v>0</v>
      </c>
      <c r="H20" s="76">
        <f>IFERROR(INDEX(Model_Data!$A$4:$AG$34,MATCH(H$3,Model_Data!$A$4:$A$34,0),MATCH("Revenue - Hall Rental Income",Model_Data!$A$3:$AG$3,0)),"")</f>
        <v>0</v>
      </c>
      <c r="I20" s="76">
        <f>IFERROR(INDEX(Model_Data!$A$4:$AG$34,MATCH(I$3,Model_Data!$A$4:$A$34,0),MATCH("Revenue - Hall Rental Income",Model_Data!$A$3:$AG$3,0)),"")</f>
        <v>0</v>
      </c>
      <c r="J20" s="76">
        <f>IFERROR(INDEX(Model_Data!$A$4:$AG$34,MATCH(J$3,Model_Data!$A$4:$A$34,0),MATCH("Revenue - Hall Rental Income",Model_Data!$A$3:$AG$3,0)),"")</f>
        <v>0</v>
      </c>
      <c r="K20" s="76">
        <f>IFERROR(INDEX(Model_Data!$A$4:$AG$34,MATCH(K$3,Model_Data!$A$4:$A$34,0),MATCH("Revenue - Hall Rental Income",Model_Data!$A$3:$AG$3,0)),"")</f>
        <v>0</v>
      </c>
      <c r="L20" s="76">
        <f>IFERROR(INDEX(Model_Data!$A$4:$AG$34,MATCH(L$3,Model_Data!$A$4:$A$34,0),MATCH("Revenue - Hall Rental Income",Model_Data!$A$3:$AG$3,0)),"")</f>
        <v>0</v>
      </c>
      <c r="M20" s="76">
        <f>IFERROR(INDEX(Model_Data!$A$4:$AG$34,MATCH(M$3,Model_Data!$A$4:$A$34,0),MATCH("Revenue - Hall Rental Income",Model_Data!$A$3:$AG$3,0)),"")</f>
        <v>0</v>
      </c>
      <c r="N20" s="76">
        <f>IFERROR(INDEX(Model_Data!$A$4:$AG$34,MATCH(N$3,Model_Data!$A$4:$A$34,0),MATCH("Revenue - Hall Rental Income",Model_Data!$A$3:$AG$3,0)),"")</f>
        <v>0</v>
      </c>
      <c r="O20" s="76">
        <f>IFERROR(INDEX(Model_Data!$A$4:$AG$34,MATCH(O$3,Model_Data!$A$4:$A$34,0),MATCH("Revenue - Hall Rental Income",Model_Data!$A$3:$AG$3,0)),"")</f>
        <v>0</v>
      </c>
      <c r="P20" s="76">
        <f>IFERROR(INDEX(Model_Data!$A$4:$AG$34,MATCH(P$3,Model_Data!$A$4:$A$34,0),MATCH("Revenue - Hall Rental Income",Model_Data!$A$3:$AG$3,0)),"")</f>
        <v>0</v>
      </c>
      <c r="Q20" s="76">
        <f>IFERROR(INDEX(Model_Data!$A$4:$AG$34,MATCH(Q$3,Model_Data!$A$4:$A$34,0),MATCH("Revenue - Hall Rental Income",Model_Data!$A$3:$AG$3,0)),"")</f>
        <v>0</v>
      </c>
      <c r="R20" s="76">
        <f>IFERROR(INDEX(Model_Data!$A$4:$AG$34,MATCH(R$3,Model_Data!$A$4:$A$34,0),MATCH("Revenue - Hall Rental Income",Model_Data!$A$3:$AG$3,0)),"")</f>
        <v>506.25</v>
      </c>
      <c r="S20" s="76">
        <f>IFERROR(INDEX(Model_Data!$A$4:$AG$34,MATCH(S$3,Model_Data!$A$4:$A$34,0),MATCH("Revenue - Hall Rental Income",Model_Data!$A$3:$AG$3,0)),"")</f>
        <v>387.5</v>
      </c>
      <c r="T20" s="76">
        <f>IFERROR(INDEX(Model_Data!$A$4:$AG$34,MATCH(T$3,Model_Data!$A$4:$A$34,0),MATCH("Revenue - Hall Rental Income",Model_Data!$A$3:$AG$3,0)),"")</f>
        <v>381.25</v>
      </c>
      <c r="U20" s="76">
        <f>IFERROR(INDEX(Model_Data!$A$4:$AG$34,MATCH(U$3,Model_Data!$A$4:$A$34,0),MATCH("Revenue - Hall Rental Income",Model_Data!$A$3:$AG$3,0)),"")</f>
        <v>87.5</v>
      </c>
      <c r="V20" s="76">
        <f>IFERROR(INDEX(Model_Data!$A$4:$AG$34,MATCH(V$3,Model_Data!$A$4:$A$34,0),MATCH("Revenue - Hall Rental Income",Model_Data!$A$3:$AG$3,0)),"")</f>
        <v>0</v>
      </c>
      <c r="W20" s="76">
        <f>IFERROR(INDEX(Model_Data!$A$4:$AG$34,MATCH(W$3,Model_Data!$A$4:$A$34,0),MATCH("Revenue - Hall Rental Income",Model_Data!$A$3:$AG$3,0)),"")</f>
        <v>218.75</v>
      </c>
      <c r="X20" s="76">
        <f>IFERROR(INDEX(Model_Data!$A$4:$AG$34,MATCH(X$3,Model_Data!$A$4:$A$34,0),MATCH("Revenue - Hall Rental Income",Model_Data!$A$3:$AG$3,0)),"")</f>
        <v>468.75</v>
      </c>
      <c r="Y20" s="76">
        <f>IFERROR(INDEX(Model_Data!$A$4:$AG$34,MATCH(Y$3,Model_Data!$A$4:$A$34,0),MATCH("Revenue - Hall Rental Income",Model_Data!$A$3:$AG$3,0)),"")</f>
        <v>1931.25</v>
      </c>
      <c r="Z20" s="76">
        <f>IFERROR(INDEX(Model_Data!$A$4:$AG$34,MATCH(Z$3,Model_Data!$A$4:$A$34,0),MATCH("Revenue - Hall Rental Income",Model_Data!$A$3:$AG$3,0)),"")</f>
        <v>1847.87</v>
      </c>
      <c r="AA20" s="76">
        <f>IFERROR(INDEX(Model_Data!$A$4:$AG$34,MATCH(AA$3,Model_Data!$A$4:$A$34,0),MATCH("Revenue - Hall Rental Income",Model_Data!$A$3:$AG$3,0)),"")</f>
        <v>2625</v>
      </c>
      <c r="AB20" s="76">
        <f>IFERROR(INDEX(Model_Data!$A$4:$AG$34,MATCH(AB$3,Model_Data!$A$4:$A$34,0),MATCH("Revenue - Hall Rental Income",Model_Data!$A$3:$AG$3,0)),"")</f>
        <v>2318.75</v>
      </c>
      <c r="AC20" s="76">
        <f>IFERROR(INDEX(Model_Data!$A$4:$AG$34,MATCH(AC$3,Model_Data!$A$4:$A$34,0),MATCH("Revenue - Hall Rental Income",Model_Data!$A$3:$AG$3,0)),"")</f>
        <v>3381.25</v>
      </c>
      <c r="AD20" s="76">
        <f>IFERROR(INDEX(Model_Data!$A$4:$AG$34,MATCH(AD$3,Model_Data!$A$4:$A$34,0),MATCH("Revenue - Hall Rental Income",Model_Data!$A$3:$AG$3,0)),"")</f>
        <v>3518.75</v>
      </c>
      <c r="AE20" s="76">
        <f>IFERROR(INDEX(Model_Data!$A$4:$AG$34,MATCH(AE$3,Model_Data!$A$4:$A$34,0),MATCH("Revenue - Hall Rental Income",Model_Data!$A$3:$AG$3,0)),"")</f>
        <v>2087.5</v>
      </c>
      <c r="AF20" s="76">
        <f>IFERROR(INDEX(Model_Data!$A$4:$AG$34,MATCH(AF$3,Model_Data!$A$4:$A$34,0),MATCH("Revenue - Hall Rental Income",Model_Data!$A$3:$AG$3,0)),"")</f>
        <v>356.25</v>
      </c>
      <c r="AG20" s="76">
        <f>IFERROR(INDEX(Model_Data!$A$4:$AG$34,MATCH(AG$3,Model_Data!$A$4:$A$34,0),MATCH("Revenue - Hall Rental Income",Model_Data!$A$3:$AG$3,0)),"")</f>
        <v>50</v>
      </c>
      <c r="AH20" s="77">
        <f>SUM(C20:AG20)</f>
        <v>20166.62</v>
      </c>
    </row>
    <row r="21" spans="1:34" ht="15" customHeight="1">
      <c r="A21" s="16" t="s">
        <v>279</v>
      </c>
      <c r="B21" s="78" t="s">
        <v>280</v>
      </c>
      <c r="C21" s="79">
        <f>IFERROR(INDEX(Model_Data!$A$4:$AG$34,MATCH(C$3,Model_Data!$A$4:$A$34,0),MATCH("Revenue - Utilities Reimbursement",Model_Data!$A$3:$AG$3,0)),"")</f>
        <v>0</v>
      </c>
      <c r="D21" s="79">
        <f>IFERROR(INDEX(Model_Data!$A$4:$AG$34,MATCH(D$3,Model_Data!$A$4:$A$34,0),MATCH("Revenue - Utilities Reimbursement",Model_Data!$A$3:$AG$3,0)),"")</f>
        <v>0</v>
      </c>
      <c r="E21" s="79">
        <f>IFERROR(INDEX(Model_Data!$A$4:$AG$34,MATCH(E$3,Model_Data!$A$4:$A$34,0),MATCH("Revenue - Utilities Reimbursement",Model_Data!$A$3:$AG$3,0)),"")</f>
        <v>0</v>
      </c>
      <c r="F21" s="79">
        <f>IFERROR(INDEX(Model_Data!$A$4:$AG$34,MATCH(F$3,Model_Data!$A$4:$A$34,0),MATCH("Revenue - Utilities Reimbursement",Model_Data!$A$3:$AG$3,0)),"")</f>
        <v>0</v>
      </c>
      <c r="G21" s="79">
        <f>IFERROR(INDEX(Model_Data!$A$4:$AG$34,MATCH(G$3,Model_Data!$A$4:$A$34,0),MATCH("Revenue - Utilities Reimbursement",Model_Data!$A$3:$AG$3,0)),"")</f>
        <v>0</v>
      </c>
      <c r="H21" s="79">
        <f>IFERROR(INDEX(Model_Data!$A$4:$AG$34,MATCH(H$3,Model_Data!$A$4:$A$34,0),MATCH("Revenue - Utilities Reimbursement",Model_Data!$A$3:$AG$3,0)),"")</f>
        <v>0</v>
      </c>
      <c r="I21" s="79">
        <f>IFERROR(INDEX(Model_Data!$A$4:$AG$34,MATCH(I$3,Model_Data!$A$4:$A$34,0),MATCH("Revenue - Utilities Reimbursement",Model_Data!$A$3:$AG$3,0)),"")</f>
        <v>0</v>
      </c>
      <c r="J21" s="79">
        <f>IFERROR(INDEX(Model_Data!$A$4:$AG$34,MATCH(J$3,Model_Data!$A$4:$A$34,0),MATCH("Revenue - Utilities Reimbursement",Model_Data!$A$3:$AG$3,0)),"")</f>
        <v>0</v>
      </c>
      <c r="K21" s="79">
        <f>IFERROR(INDEX(Model_Data!$A$4:$AG$34,MATCH(K$3,Model_Data!$A$4:$A$34,0),MATCH("Revenue - Utilities Reimbursement",Model_Data!$A$3:$AG$3,0)),"")</f>
        <v>0</v>
      </c>
      <c r="L21" s="79">
        <f>IFERROR(INDEX(Model_Data!$A$4:$AG$34,MATCH(L$3,Model_Data!$A$4:$A$34,0),MATCH("Revenue - Utilities Reimbursement",Model_Data!$A$3:$AG$3,0)),"")</f>
        <v>0</v>
      </c>
      <c r="M21" s="79">
        <f>IFERROR(INDEX(Model_Data!$A$4:$AG$34,MATCH(M$3,Model_Data!$A$4:$A$34,0),MATCH("Revenue - Utilities Reimbursement",Model_Data!$A$3:$AG$3,0)),"")</f>
        <v>0</v>
      </c>
      <c r="N21" s="79">
        <f>IFERROR(INDEX(Model_Data!$A$4:$AG$34,MATCH(N$3,Model_Data!$A$4:$A$34,0),MATCH("Revenue - Utilities Reimbursement",Model_Data!$A$3:$AG$3,0)),"")</f>
        <v>0</v>
      </c>
      <c r="O21" s="79">
        <f>IFERROR(INDEX(Model_Data!$A$4:$AG$34,MATCH(O$3,Model_Data!$A$4:$A$34,0),MATCH("Revenue - Utilities Reimbursement",Model_Data!$A$3:$AG$3,0)),"")</f>
        <v>0</v>
      </c>
      <c r="P21" s="79">
        <f>IFERROR(INDEX(Model_Data!$A$4:$AG$34,MATCH(P$3,Model_Data!$A$4:$A$34,0),MATCH("Revenue - Utilities Reimbursement",Model_Data!$A$3:$AG$3,0)),"")</f>
        <v>0</v>
      </c>
      <c r="Q21" s="79">
        <f>IFERROR(INDEX(Model_Data!$A$4:$AG$34,MATCH(Q$3,Model_Data!$A$4:$A$34,0),MATCH("Revenue - Utilities Reimbursement",Model_Data!$A$3:$AG$3,0)),"")</f>
        <v>0</v>
      </c>
      <c r="R21" s="79">
        <f>IFERROR(INDEX(Model_Data!$A$4:$AG$34,MATCH(R$3,Model_Data!$A$4:$A$34,0),MATCH("Revenue - Utilities Reimbursement",Model_Data!$A$3:$AG$3,0)),"")</f>
        <v>0</v>
      </c>
      <c r="S21" s="79">
        <f>IFERROR(INDEX(Model_Data!$A$4:$AG$34,MATCH(S$3,Model_Data!$A$4:$A$34,0),MATCH("Revenue - Utilities Reimbursement",Model_Data!$A$3:$AG$3,0)),"")</f>
        <v>0</v>
      </c>
      <c r="T21" s="79">
        <f>IFERROR(INDEX(Model_Data!$A$4:$AG$34,MATCH(T$3,Model_Data!$A$4:$A$34,0),MATCH("Revenue - Utilities Reimbursement",Model_Data!$A$3:$AG$3,0)),"")</f>
        <v>0</v>
      </c>
      <c r="U21" s="79">
        <f>IFERROR(INDEX(Model_Data!$A$4:$AG$34,MATCH(U$3,Model_Data!$A$4:$A$34,0),MATCH("Revenue - Utilities Reimbursement",Model_Data!$A$3:$AG$3,0)),"")</f>
        <v>0</v>
      </c>
      <c r="V21" s="79">
        <f>IFERROR(INDEX(Model_Data!$A$4:$AG$34,MATCH(V$3,Model_Data!$A$4:$A$34,0),MATCH("Revenue - Utilities Reimbursement",Model_Data!$A$3:$AG$3,0)),"")</f>
        <v>0</v>
      </c>
      <c r="W21" s="79">
        <f>IFERROR(INDEX(Model_Data!$A$4:$AG$34,MATCH(W$3,Model_Data!$A$4:$A$34,0),MATCH("Revenue - Utilities Reimbursement",Model_Data!$A$3:$AG$3,0)),"")</f>
        <v>0</v>
      </c>
      <c r="X21" s="79">
        <f>IFERROR(INDEX(Model_Data!$A$4:$AG$34,MATCH(X$3,Model_Data!$A$4:$A$34,0),MATCH("Revenue - Utilities Reimbursement",Model_Data!$A$3:$AG$3,0)),"")</f>
        <v>0</v>
      </c>
      <c r="Y21" s="79">
        <f>IFERROR(INDEX(Model_Data!$A$4:$AG$34,MATCH(Y$3,Model_Data!$A$4:$A$34,0),MATCH("Revenue - Utilities Reimbursement",Model_Data!$A$3:$AG$3,0)),"")</f>
        <v>0</v>
      </c>
      <c r="Z21" s="79">
        <f>IFERROR(INDEX(Model_Data!$A$4:$AG$34,MATCH(Z$3,Model_Data!$A$4:$A$34,0),MATCH("Revenue - Utilities Reimbursement",Model_Data!$A$3:$AG$3,0)),"")</f>
        <v>0</v>
      </c>
      <c r="AA21" s="79">
        <f>IFERROR(INDEX(Model_Data!$A$4:$AG$34,MATCH(AA$3,Model_Data!$A$4:$A$34,0),MATCH("Revenue - Utilities Reimbursement",Model_Data!$A$3:$AG$3,0)),"")</f>
        <v>193.75</v>
      </c>
      <c r="AB21" s="79">
        <f>IFERROR(INDEX(Model_Data!$A$4:$AG$34,MATCH(AB$3,Model_Data!$A$4:$A$34,0),MATCH("Revenue - Utilities Reimbursement",Model_Data!$A$3:$AG$3,0)),"")</f>
        <v>0</v>
      </c>
      <c r="AC21" s="79">
        <f>IFERROR(INDEX(Model_Data!$A$4:$AG$34,MATCH(AC$3,Model_Data!$A$4:$A$34,0),MATCH("Revenue - Utilities Reimbursement",Model_Data!$A$3:$AG$3,0)),"")</f>
        <v>0</v>
      </c>
      <c r="AD21" s="79">
        <f>IFERROR(INDEX(Model_Data!$A$4:$AG$34,MATCH(AD$3,Model_Data!$A$4:$A$34,0),MATCH("Revenue - Utilities Reimbursement",Model_Data!$A$3:$AG$3,0)),"")</f>
        <v>0</v>
      </c>
      <c r="AE21" s="79">
        <f>IFERROR(INDEX(Model_Data!$A$4:$AG$34,MATCH(AE$3,Model_Data!$A$4:$A$34,0),MATCH("Revenue - Utilities Reimbursement",Model_Data!$A$3:$AG$3,0)),"")</f>
        <v>0</v>
      </c>
      <c r="AF21" s="79">
        <f>IFERROR(INDEX(Model_Data!$A$4:$AG$34,MATCH(AF$3,Model_Data!$A$4:$A$34,0),MATCH("Revenue - Utilities Reimbursement",Model_Data!$A$3:$AG$3,0)),"")</f>
        <v>0</v>
      </c>
      <c r="AG21" s="79">
        <f>IFERROR(INDEX(Model_Data!$A$4:$AG$34,MATCH(AG$3,Model_Data!$A$4:$A$34,0),MATCH("Revenue - Utilities Reimbursement",Model_Data!$A$3:$AG$3,0)),"")</f>
        <v>0</v>
      </c>
      <c r="AH21" s="80">
        <f>SUM(C21:AG21)</f>
        <v>193.75</v>
      </c>
    </row>
    <row r="22" spans="1:34" ht="15" customHeight="1">
      <c r="A22" s="74" t="s">
        <v>281</v>
      </c>
      <c r="B22" s="75" t="s">
        <v>282</v>
      </c>
      <c r="C22" s="76">
        <f>IFERROR(INDEX(Model_Data!$A$4:$AG$34,MATCH(C$3,Model_Data!$A$4:$A$34,0),MATCH("Revenue - Event / Photo Revenue",Model_Data!$A$3:$AG$3,0)),"")</f>
        <v>0</v>
      </c>
      <c r="D22" s="76">
        <f>IFERROR(INDEX(Model_Data!$A$4:$AG$34,MATCH(D$3,Model_Data!$A$4:$A$34,0),MATCH("Revenue - Event / Photo Revenue",Model_Data!$A$3:$AG$3,0)),"")</f>
        <v>0</v>
      </c>
      <c r="E22" s="76">
        <f>IFERROR(INDEX(Model_Data!$A$4:$AG$34,MATCH(E$3,Model_Data!$A$4:$A$34,0),MATCH("Revenue - Event / Photo Revenue",Model_Data!$A$3:$AG$3,0)),"")</f>
        <v>0</v>
      </c>
      <c r="F22" s="76">
        <f>IFERROR(INDEX(Model_Data!$A$4:$AG$34,MATCH(F$3,Model_Data!$A$4:$A$34,0),MATCH("Revenue - Event / Photo Revenue",Model_Data!$A$3:$AG$3,0)),"")</f>
        <v>0</v>
      </c>
      <c r="G22" s="76">
        <f>IFERROR(INDEX(Model_Data!$A$4:$AG$34,MATCH(G$3,Model_Data!$A$4:$A$34,0),MATCH("Revenue - Event / Photo Revenue",Model_Data!$A$3:$AG$3,0)),"")</f>
        <v>0</v>
      </c>
      <c r="H22" s="76">
        <f>IFERROR(INDEX(Model_Data!$A$4:$AG$34,MATCH(H$3,Model_Data!$A$4:$A$34,0),MATCH("Revenue - Event / Photo Revenue",Model_Data!$A$3:$AG$3,0)),"")</f>
        <v>0</v>
      </c>
      <c r="I22" s="76">
        <f>IFERROR(INDEX(Model_Data!$A$4:$AG$34,MATCH(I$3,Model_Data!$A$4:$A$34,0),MATCH("Revenue - Event / Photo Revenue",Model_Data!$A$3:$AG$3,0)),"")</f>
        <v>0</v>
      </c>
      <c r="J22" s="76">
        <f>IFERROR(INDEX(Model_Data!$A$4:$AG$34,MATCH(J$3,Model_Data!$A$4:$A$34,0),MATCH("Revenue - Event / Photo Revenue",Model_Data!$A$3:$AG$3,0)),"")</f>
        <v>0</v>
      </c>
      <c r="K22" s="76">
        <f>IFERROR(INDEX(Model_Data!$A$4:$AG$34,MATCH(K$3,Model_Data!$A$4:$A$34,0),MATCH("Revenue - Event / Photo Revenue",Model_Data!$A$3:$AG$3,0)),"")</f>
        <v>0</v>
      </c>
      <c r="L22" s="76">
        <f>IFERROR(INDEX(Model_Data!$A$4:$AG$34,MATCH(L$3,Model_Data!$A$4:$A$34,0),MATCH("Revenue - Event / Photo Revenue",Model_Data!$A$3:$AG$3,0)),"")</f>
        <v>0</v>
      </c>
      <c r="M22" s="76">
        <f>IFERROR(INDEX(Model_Data!$A$4:$AG$34,MATCH(M$3,Model_Data!$A$4:$A$34,0),MATCH("Revenue - Event / Photo Revenue",Model_Data!$A$3:$AG$3,0)),"")</f>
        <v>0</v>
      </c>
      <c r="N22" s="76">
        <f>IFERROR(INDEX(Model_Data!$A$4:$AG$34,MATCH(N$3,Model_Data!$A$4:$A$34,0),MATCH("Revenue - Event / Photo Revenue",Model_Data!$A$3:$AG$3,0)),"")</f>
        <v>0</v>
      </c>
      <c r="O22" s="76">
        <f>IFERROR(INDEX(Model_Data!$A$4:$AG$34,MATCH(O$3,Model_Data!$A$4:$A$34,0),MATCH("Revenue - Event / Photo Revenue",Model_Data!$A$3:$AG$3,0)),"")</f>
        <v>0</v>
      </c>
      <c r="P22" s="76">
        <f>IFERROR(INDEX(Model_Data!$A$4:$AG$34,MATCH(P$3,Model_Data!$A$4:$A$34,0),MATCH("Revenue - Event / Photo Revenue",Model_Data!$A$3:$AG$3,0)),"")</f>
        <v>46.24</v>
      </c>
      <c r="Q22" s="76">
        <f>IFERROR(INDEX(Model_Data!$A$4:$AG$34,MATCH(Q$3,Model_Data!$A$4:$A$34,0),MATCH("Revenue - Event / Photo Revenue",Model_Data!$A$3:$AG$3,0)),"")</f>
        <v>194.37</v>
      </c>
      <c r="R22" s="76">
        <f>IFERROR(INDEX(Model_Data!$A$4:$AG$34,MATCH(R$3,Model_Data!$A$4:$A$34,0),MATCH("Revenue - Event / Photo Revenue",Model_Data!$A$3:$AG$3,0)),"")</f>
        <v>87.5</v>
      </c>
      <c r="S22" s="76">
        <f>IFERROR(INDEX(Model_Data!$A$4:$AG$34,MATCH(S$3,Model_Data!$A$4:$A$34,0),MATCH("Revenue - Event / Photo Revenue",Model_Data!$A$3:$AG$3,0)),"")</f>
        <v>12.5</v>
      </c>
      <c r="T22" s="76">
        <f>IFERROR(INDEX(Model_Data!$A$4:$AG$34,MATCH(T$3,Model_Data!$A$4:$A$34,0),MATCH("Revenue - Event / Photo Revenue",Model_Data!$A$3:$AG$3,0)),"")</f>
        <v>0</v>
      </c>
      <c r="U22" s="76">
        <f>IFERROR(INDEX(Model_Data!$A$4:$AG$34,MATCH(U$3,Model_Data!$A$4:$A$34,0),MATCH("Revenue - Event / Photo Revenue",Model_Data!$A$3:$AG$3,0)),"")</f>
        <v>0</v>
      </c>
      <c r="V22" s="76">
        <f>IFERROR(INDEX(Model_Data!$A$4:$AG$34,MATCH(V$3,Model_Data!$A$4:$A$34,0),MATCH("Revenue - Event / Photo Revenue",Model_Data!$A$3:$AG$3,0)),"")</f>
        <v>0</v>
      </c>
      <c r="W22" s="76">
        <f>IFERROR(INDEX(Model_Data!$A$4:$AG$34,MATCH(W$3,Model_Data!$A$4:$A$34,0),MATCH("Revenue - Event / Photo Revenue",Model_Data!$A$3:$AG$3,0)),"")</f>
        <v>0</v>
      </c>
      <c r="X22" s="76">
        <f>IFERROR(INDEX(Model_Data!$A$4:$AG$34,MATCH(X$3,Model_Data!$A$4:$A$34,0),MATCH("Revenue - Event / Photo Revenue",Model_Data!$A$3:$AG$3,0)),"")</f>
        <v>0</v>
      </c>
      <c r="Y22" s="76">
        <f>IFERROR(INDEX(Model_Data!$A$4:$AG$34,MATCH(Y$3,Model_Data!$A$4:$A$34,0),MATCH("Revenue - Event / Photo Revenue",Model_Data!$A$3:$AG$3,0)),"")</f>
        <v>0</v>
      </c>
      <c r="Z22" s="76">
        <f>IFERROR(INDEX(Model_Data!$A$4:$AG$34,MATCH(Z$3,Model_Data!$A$4:$A$34,0),MATCH("Revenue - Event / Photo Revenue",Model_Data!$A$3:$AG$3,0)),"")</f>
        <v>537.5</v>
      </c>
      <c r="AA22" s="76">
        <f>IFERROR(INDEX(Model_Data!$A$4:$AG$34,MATCH(AA$3,Model_Data!$A$4:$A$34,0),MATCH("Revenue - Event / Photo Revenue",Model_Data!$A$3:$AG$3,0)),"")</f>
        <v>0</v>
      </c>
      <c r="AB22" s="76">
        <f>IFERROR(INDEX(Model_Data!$A$4:$AG$34,MATCH(AB$3,Model_Data!$A$4:$A$34,0),MATCH("Revenue - Event / Photo Revenue",Model_Data!$A$3:$AG$3,0)),"")</f>
        <v>267.63</v>
      </c>
      <c r="AC22" s="76">
        <f>IFERROR(INDEX(Model_Data!$A$4:$AG$34,MATCH(AC$3,Model_Data!$A$4:$A$34,0),MATCH("Revenue - Event / Photo Revenue",Model_Data!$A$3:$AG$3,0)),"")</f>
        <v>120</v>
      </c>
      <c r="AD22" s="76">
        <f>IFERROR(INDEX(Model_Data!$A$4:$AG$34,MATCH(AD$3,Model_Data!$A$4:$A$34,0),MATCH("Revenue - Event / Photo Revenue",Model_Data!$A$3:$AG$3,0)),"")</f>
        <v>92.5</v>
      </c>
      <c r="AE22" s="76">
        <f>IFERROR(INDEX(Model_Data!$A$4:$AG$34,MATCH(AE$3,Model_Data!$A$4:$A$34,0),MATCH("Revenue - Event / Photo Revenue",Model_Data!$A$3:$AG$3,0)),"")</f>
        <v>46.25</v>
      </c>
      <c r="AF22" s="76">
        <f>IFERROR(INDEX(Model_Data!$A$4:$AG$34,MATCH(AF$3,Model_Data!$A$4:$A$34,0),MATCH("Revenue - Event / Photo Revenue",Model_Data!$A$3:$AG$3,0)),"")</f>
        <v>86.25</v>
      </c>
      <c r="AG22" s="76">
        <f>IFERROR(INDEX(Model_Data!$A$4:$AG$34,MATCH(AG$3,Model_Data!$A$4:$A$34,0),MATCH("Revenue - Event / Photo Revenue",Model_Data!$A$3:$AG$3,0)),"")</f>
        <v>0</v>
      </c>
      <c r="AH22" s="77">
        <f>SUM(C22:AG22)</f>
        <v>1490.74</v>
      </c>
    </row>
    <row r="23" spans="1:34" ht="15" customHeight="1">
      <c r="A23" s="16" t="s">
        <v>283</v>
      </c>
      <c r="B23" s="78" t="s">
        <v>284</v>
      </c>
      <c r="C23" s="79">
        <f>IFERROR(INDEX(Model_Data!$A$4:$AG$34,MATCH(C$3,Model_Data!$A$4:$A$34,0),MATCH("Revenue - Other",Model_Data!$A$3:$AG$3,0)),"")</f>
        <v>125</v>
      </c>
      <c r="D23" s="79">
        <f>IFERROR(INDEX(Model_Data!$A$4:$AG$34,MATCH(D$3,Model_Data!$A$4:$A$34,0),MATCH("Revenue - Other",Model_Data!$A$3:$AG$3,0)),"")</f>
        <v>0</v>
      </c>
      <c r="E23" s="79">
        <f>IFERROR(INDEX(Model_Data!$A$4:$AG$34,MATCH(E$3,Model_Data!$A$4:$A$34,0),MATCH("Revenue - Other",Model_Data!$A$3:$AG$3,0)),"")</f>
        <v>200</v>
      </c>
      <c r="F23" s="79">
        <f>IFERROR(INDEX(Model_Data!$A$4:$AG$34,MATCH(F$3,Model_Data!$A$4:$A$34,0),MATCH("Revenue - Other",Model_Data!$A$3:$AG$3,0)),"")</f>
        <v>400</v>
      </c>
      <c r="G23" s="79">
        <f>IFERROR(INDEX(Model_Data!$A$4:$AG$34,MATCH(G$3,Model_Data!$A$4:$A$34,0),MATCH("Revenue - Other",Model_Data!$A$3:$AG$3,0)),"")</f>
        <v>0</v>
      </c>
      <c r="H23" s="79">
        <f>IFERROR(INDEX(Model_Data!$A$4:$AG$34,MATCH(H$3,Model_Data!$A$4:$A$34,0),MATCH("Revenue - Other",Model_Data!$A$3:$AG$3,0)),"")</f>
        <v>0</v>
      </c>
      <c r="I23" s="79">
        <f>IFERROR(INDEX(Model_Data!$A$4:$AG$34,MATCH(I$3,Model_Data!$A$4:$A$34,0),MATCH("Revenue - Other",Model_Data!$A$3:$AG$3,0)),"")</f>
        <v>225</v>
      </c>
      <c r="J23" s="79">
        <f>IFERROR(INDEX(Model_Data!$A$4:$AG$34,MATCH(J$3,Model_Data!$A$4:$A$34,0),MATCH("Revenue - Other",Model_Data!$A$3:$AG$3,0)),"")</f>
        <v>12.5</v>
      </c>
      <c r="K23" s="79">
        <f>IFERROR(INDEX(Model_Data!$A$4:$AG$34,MATCH(K$3,Model_Data!$A$4:$A$34,0),MATCH("Revenue - Other",Model_Data!$A$3:$AG$3,0)),"")</f>
        <v>18.75</v>
      </c>
      <c r="L23" s="79">
        <f>IFERROR(INDEX(Model_Data!$A$4:$AG$34,MATCH(L$3,Model_Data!$A$4:$A$34,0),MATCH("Revenue - Other",Model_Data!$A$3:$AG$3,0)),"")</f>
        <v>0</v>
      </c>
      <c r="M23" s="79">
        <f>IFERROR(INDEX(Model_Data!$A$4:$AG$34,MATCH(M$3,Model_Data!$A$4:$A$34,0),MATCH("Revenue - Other",Model_Data!$A$3:$AG$3,0)),"")</f>
        <v>0</v>
      </c>
      <c r="N23" s="79">
        <f>IFERROR(INDEX(Model_Data!$A$4:$AG$34,MATCH(N$3,Model_Data!$A$4:$A$34,0),MATCH("Revenue - Other",Model_Data!$A$3:$AG$3,0)),"")</f>
        <v>0</v>
      </c>
      <c r="O23" s="79">
        <f>IFERROR(INDEX(Model_Data!$A$4:$AG$34,MATCH(O$3,Model_Data!$A$4:$A$34,0),MATCH("Revenue - Other",Model_Data!$A$3:$AG$3,0)),"")</f>
        <v>0</v>
      </c>
      <c r="P23" s="79">
        <f>IFERROR(INDEX(Model_Data!$A$4:$AG$34,MATCH(P$3,Model_Data!$A$4:$A$34,0),MATCH("Revenue - Other",Model_Data!$A$3:$AG$3,0)),"")</f>
        <v>14.25</v>
      </c>
      <c r="Q23" s="79">
        <f>IFERROR(INDEX(Model_Data!$A$4:$AG$34,MATCH(Q$3,Model_Data!$A$4:$A$34,0),MATCH("Revenue - Other",Model_Data!$A$3:$AG$3,0)),"")</f>
        <v>0</v>
      </c>
      <c r="R23" s="79">
        <f>IFERROR(INDEX(Model_Data!$A$4:$AG$34,MATCH(R$3,Model_Data!$A$4:$A$34,0),MATCH("Revenue - Other",Model_Data!$A$3:$AG$3,0)),"")</f>
        <v>137.5</v>
      </c>
      <c r="S23" s="79">
        <f>IFERROR(INDEX(Model_Data!$A$4:$AG$34,MATCH(S$3,Model_Data!$A$4:$A$34,0),MATCH("Revenue - Other",Model_Data!$A$3:$AG$3,0)),"")</f>
        <v>393.75</v>
      </c>
      <c r="T23" s="79">
        <f>IFERROR(INDEX(Model_Data!$A$4:$AG$34,MATCH(T$3,Model_Data!$A$4:$A$34,0),MATCH("Revenue - Other",Model_Data!$A$3:$AG$3,0)),"")</f>
        <v>370</v>
      </c>
      <c r="U23" s="79">
        <f>IFERROR(INDEX(Model_Data!$A$4:$AG$34,MATCH(U$3,Model_Data!$A$4:$A$34,0),MATCH("Revenue - Other",Model_Data!$A$3:$AG$3,0)),"")</f>
        <v>0</v>
      </c>
      <c r="V23" s="79">
        <f>IFERROR(INDEX(Model_Data!$A$4:$AG$34,MATCH(V$3,Model_Data!$A$4:$A$34,0),MATCH("Revenue - Other",Model_Data!$A$3:$AG$3,0)),"")</f>
        <v>0</v>
      </c>
      <c r="W23" s="79">
        <f>IFERROR(INDEX(Model_Data!$A$4:$AG$34,MATCH(W$3,Model_Data!$A$4:$A$34,0),MATCH("Revenue - Other",Model_Data!$A$3:$AG$3,0)),"")</f>
        <v>0</v>
      </c>
      <c r="X23" s="79">
        <f>IFERROR(INDEX(Model_Data!$A$4:$AG$34,MATCH(X$3,Model_Data!$A$4:$A$34,0),MATCH("Revenue - Other",Model_Data!$A$3:$AG$3,0)),"")</f>
        <v>0</v>
      </c>
      <c r="Y23" s="79">
        <f>IFERROR(INDEX(Model_Data!$A$4:$AG$34,MATCH(Y$3,Model_Data!$A$4:$A$34,0),MATCH("Revenue - Other",Model_Data!$A$3:$AG$3,0)),"")</f>
        <v>0</v>
      </c>
      <c r="Z23" s="79">
        <f>IFERROR(INDEX(Model_Data!$A$4:$AG$34,MATCH(Z$3,Model_Data!$A$4:$A$34,0),MATCH("Revenue - Other",Model_Data!$A$3:$AG$3,0)),"")</f>
        <v>275</v>
      </c>
      <c r="AA23" s="79">
        <f>IFERROR(INDEX(Model_Data!$A$4:$AG$34,MATCH(AA$3,Model_Data!$A$4:$A$34,0),MATCH("Revenue - Other",Model_Data!$A$3:$AG$3,0)),"")</f>
        <v>31.25</v>
      </c>
      <c r="AB23" s="79">
        <f>IFERROR(INDEX(Model_Data!$A$4:$AG$34,MATCH(AB$3,Model_Data!$A$4:$A$34,0),MATCH("Revenue - Other",Model_Data!$A$3:$AG$3,0)),"")</f>
        <v>0</v>
      </c>
      <c r="AC23" s="79">
        <f>IFERROR(INDEX(Model_Data!$A$4:$AG$34,MATCH(AC$3,Model_Data!$A$4:$A$34,0),MATCH("Revenue - Other",Model_Data!$A$3:$AG$3,0)),"")</f>
        <v>18.75</v>
      </c>
      <c r="AD23" s="79">
        <f>IFERROR(INDEX(Model_Data!$A$4:$AG$34,MATCH(AD$3,Model_Data!$A$4:$A$34,0),MATCH("Revenue - Other",Model_Data!$A$3:$AG$3,0)),"")</f>
        <v>18.75</v>
      </c>
      <c r="AE23" s="79">
        <f>IFERROR(INDEX(Model_Data!$A$4:$AG$34,MATCH(AE$3,Model_Data!$A$4:$A$34,0),MATCH("Revenue - Other",Model_Data!$A$3:$AG$3,0)),"")</f>
        <v>56.25</v>
      </c>
      <c r="AF23" s="79">
        <f>IFERROR(INDEX(Model_Data!$A$4:$AG$34,MATCH(AF$3,Model_Data!$A$4:$A$34,0),MATCH("Revenue - Other",Model_Data!$A$3:$AG$3,0)),"")</f>
        <v>0</v>
      </c>
      <c r="AG23" s="79">
        <f>IFERROR(INDEX(Model_Data!$A$4:$AG$34,MATCH(AG$3,Model_Data!$A$4:$A$34,0),MATCH("Revenue - Other",Model_Data!$A$3:$AG$3,0)),"")</f>
        <v>0</v>
      </c>
      <c r="AH23" s="80">
        <f>SUM(C23:AG23)</f>
        <v>2296.75</v>
      </c>
    </row>
    <row r="24" spans="1:34" ht="15.75" customHeight="1">
      <c r="A24" s="81" t="s">
        <v>285</v>
      </c>
      <c r="B24" s="82"/>
      <c r="C24" s="83">
        <f>SUM(C20:C23)</f>
        <v>125</v>
      </c>
      <c r="D24" s="83">
        <f>SUM(D20:D23)</f>
        <v>0</v>
      </c>
      <c r="E24" s="83">
        <f>SUM(E20:E23)</f>
        <v>200</v>
      </c>
      <c r="F24" s="83">
        <f>SUM(F20:F23)</f>
        <v>400</v>
      </c>
      <c r="G24" s="83">
        <f>SUM(G20:G23)</f>
        <v>0</v>
      </c>
      <c r="H24" s="83">
        <f>SUM(H20:H23)</f>
        <v>0</v>
      </c>
      <c r="I24" s="83">
        <f>SUM(I20:I23)</f>
        <v>225</v>
      </c>
      <c r="J24" s="83">
        <f>SUM(J20:J23)</f>
        <v>12.5</v>
      </c>
      <c r="K24" s="83">
        <f>SUM(K20:K23)</f>
        <v>18.75</v>
      </c>
      <c r="L24" s="83">
        <f>SUM(L20:L23)</f>
        <v>0</v>
      </c>
      <c r="M24" s="83">
        <f>SUM(M20:M23)</f>
        <v>0</v>
      </c>
      <c r="N24" s="83">
        <f>SUM(N20:N23)</f>
        <v>0</v>
      </c>
      <c r="O24" s="83">
        <f>SUM(O20:O23)</f>
        <v>0</v>
      </c>
      <c r="P24" s="83">
        <f>SUM(P20:P23)</f>
        <v>60.49</v>
      </c>
      <c r="Q24" s="83">
        <f>SUM(Q20:Q23)</f>
        <v>194.37</v>
      </c>
      <c r="R24" s="83">
        <f>SUM(R20:R23)</f>
        <v>731.25</v>
      </c>
      <c r="S24" s="83">
        <f>SUM(S20:S23)</f>
        <v>793.75</v>
      </c>
      <c r="T24" s="83">
        <f>SUM(T20:T23)</f>
        <v>751.25</v>
      </c>
      <c r="U24" s="83">
        <f>SUM(U20:U23)</f>
        <v>87.5</v>
      </c>
      <c r="V24" s="83">
        <f>SUM(V20:V23)</f>
        <v>0</v>
      </c>
      <c r="W24" s="83">
        <f>SUM(W20:W23)</f>
        <v>218.75</v>
      </c>
      <c r="X24" s="83">
        <f>SUM(X20:X23)</f>
        <v>468.75</v>
      </c>
      <c r="Y24" s="83">
        <f>SUM(Y20:Y23)</f>
        <v>1931.25</v>
      </c>
      <c r="Z24" s="83">
        <f>SUM(Z20:Z23)</f>
        <v>2660.37</v>
      </c>
      <c r="AA24" s="83">
        <f>SUM(AA20:AA23)</f>
        <v>2850</v>
      </c>
      <c r="AB24" s="83">
        <f>SUM(AB20:AB23)</f>
        <v>2586.38</v>
      </c>
      <c r="AC24" s="83">
        <f>SUM(AC20:AC23)</f>
        <v>3520</v>
      </c>
      <c r="AD24" s="83">
        <f>SUM(AD20:AD23)</f>
        <v>3630</v>
      </c>
      <c r="AE24" s="83">
        <f>SUM(AE20:AE23)</f>
        <v>2190</v>
      </c>
      <c r="AF24" s="83">
        <f>SUM(AF20:AF23)</f>
        <v>442.5</v>
      </c>
      <c r="AG24" s="83">
        <f>SUM(AG20:AG23)</f>
        <v>50</v>
      </c>
      <c r="AH24" s="83">
        <f>SUM(AH20:AH23)</f>
        <v>24147.86</v>
      </c>
    </row>
    <row r="25" spans="1:34" ht="3.75" customHeight="1">
      <c r="A25" s="84"/>
      <c r="B25" s="84"/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</row>
    <row r="26" spans="1:34" ht="15.75" customHeight="1">
      <c r="A26" s="86" t="s">
        <v>286</v>
      </c>
      <c r="B26" s="87"/>
      <c r="C26" s="88">
        <f>SUM(C11,C17,C24)</f>
        <v>1800</v>
      </c>
      <c r="D26" s="88">
        <f>SUM(D11,D17,D24)</f>
        <v>2775</v>
      </c>
      <c r="E26" s="88">
        <f>SUM(E11,E17,E24)</f>
        <v>5475</v>
      </c>
      <c r="F26" s="88">
        <f>SUM(F11,F17,F24)</f>
        <v>4937.5</v>
      </c>
      <c r="G26" s="88">
        <f>SUM(G11,G17,G24)</f>
        <v>5268.75</v>
      </c>
      <c r="H26" s="88">
        <f>SUM(H11,H17,H24)</f>
        <v>5243.75</v>
      </c>
      <c r="I26" s="88">
        <f>SUM(I11,I17,I24)</f>
        <v>6550</v>
      </c>
      <c r="J26" s="88">
        <f>SUM(J11,J17,J24)</f>
        <v>6343.75</v>
      </c>
      <c r="K26" s="88">
        <f>SUM(K11,K17,K24)</f>
        <v>10837.5</v>
      </c>
      <c r="L26" s="88">
        <f>SUM(L11,L17,L24)</f>
        <v>8568.75</v>
      </c>
      <c r="M26" s="88">
        <f>SUM(M11,M17,M24)</f>
        <v>7443.75</v>
      </c>
      <c r="N26" s="88">
        <f>SUM(N11,N17,N24)</f>
        <v>8568.75</v>
      </c>
      <c r="O26" s="88">
        <f>SUM(O11,O17,O24)</f>
        <v>6631.25</v>
      </c>
      <c r="P26" s="88">
        <f>SUM(P11,P17,P24)</f>
        <v>6699.24</v>
      </c>
      <c r="Q26" s="88">
        <f>SUM(Q11,Q17,Q24)</f>
        <v>11406.87</v>
      </c>
      <c r="R26" s="88">
        <f>SUM(R11,R17,R24)</f>
        <v>12859.369999999999</v>
      </c>
      <c r="S26" s="88">
        <f>SUM(S11,S17,S24)</f>
        <v>10931.25</v>
      </c>
      <c r="T26" s="88">
        <f>SUM(T11,T17,T24)</f>
        <v>9301.25</v>
      </c>
      <c r="U26" s="88">
        <f>SUM(U11,U17,U24)</f>
        <v>7027.5</v>
      </c>
      <c r="V26" s="88">
        <f>SUM(V11,V17,V24)</f>
        <v>7800</v>
      </c>
      <c r="W26" s="88">
        <f>SUM(W11,W17,W24)</f>
        <v>11250</v>
      </c>
      <c r="X26" s="88">
        <f>SUM(X11,X17,X24)</f>
        <v>10962.5</v>
      </c>
      <c r="Y26" s="88">
        <f>SUM(Y11,Y17,Y24)</f>
        <v>12725</v>
      </c>
      <c r="Z26" s="88">
        <f>SUM(Z11,Z17,Z24)</f>
        <v>13297.869999999999</v>
      </c>
      <c r="AA26" s="88">
        <f>SUM(AA11,AA17,AA24)</f>
        <v>14067.5</v>
      </c>
      <c r="AB26" s="88">
        <f>SUM(AB11,AB17,AB24)</f>
        <v>13436.880000000001</v>
      </c>
      <c r="AC26" s="88">
        <f>SUM(AC11,AC17,AC24)</f>
        <v>14926.25</v>
      </c>
      <c r="AD26" s="88">
        <f>SUM(AD11,AD17,AD24)</f>
        <v>13636.25</v>
      </c>
      <c r="AE26" s="88">
        <f>SUM(AE11,AE17,AE24)</f>
        <v>13158.75</v>
      </c>
      <c r="AF26" s="88">
        <f>SUM(AF11,AF17,AF24)</f>
        <v>7418.75</v>
      </c>
      <c r="AG26" s="88">
        <f>SUM(AG11,AG17,AG24)</f>
        <v>3987.5</v>
      </c>
      <c r="AH26" s="88">
        <f>SUM(AH11,AH17,AH24)</f>
        <v>275336.48</v>
      </c>
    </row>
    <row r="27" spans="1:34" ht="3.75" customHeight="1">
      <c r="A27" s="84"/>
      <c r="B27" s="84"/>
      <c r="C27" s="85"/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5"/>
      <c r="AE27" s="85"/>
      <c r="AF27" s="85"/>
      <c r="AG27" s="85"/>
      <c r="AH27" s="85"/>
    </row>
    <row r="28" spans="1:34" ht="15" customHeight="1">
      <c r="A28" s="268" t="s">
        <v>287</v>
      </c>
      <c r="B28" s="268"/>
      <c r="C28" s="268"/>
      <c r="D28" s="268"/>
      <c r="E28" s="268"/>
      <c r="F28" s="268"/>
      <c r="G28" s="268"/>
      <c r="H28" s="268"/>
      <c r="I28" s="268"/>
      <c r="J28" s="268"/>
      <c r="K28" s="268"/>
      <c r="L28" s="268"/>
      <c r="M28" s="268"/>
      <c r="N28" s="268"/>
      <c r="O28" s="268"/>
      <c r="P28" s="268"/>
      <c r="Q28" s="268"/>
      <c r="R28" s="268"/>
      <c r="S28" s="268"/>
      <c r="T28" s="268"/>
      <c r="U28" s="268"/>
      <c r="V28" s="268"/>
      <c r="W28" s="268"/>
      <c r="X28" s="268"/>
      <c r="Y28" s="268"/>
      <c r="Z28" s="268"/>
      <c r="AA28" s="268"/>
      <c r="AB28" s="268"/>
      <c r="AC28" s="268"/>
      <c r="AD28" s="268"/>
      <c r="AE28" s="268"/>
      <c r="AF28" s="268"/>
      <c r="AG28" s="268"/>
      <c r="AH28" s="268"/>
    </row>
    <row r="29" spans="1:34" ht="15" customHeight="1">
      <c r="A29" s="74" t="s">
        <v>288</v>
      </c>
      <c r="B29" s="75" t="s">
        <v>289</v>
      </c>
      <c r="C29" s="76">
        <f>IFERROR(INDEX(Model_Data!$A$4:$AG$34,MATCH(C$3,Model_Data!$A$4:$A$34,0),MATCH("Expense - Ballet Shoe Cost",Model_Data!$A$3:$AG$3,0)),"")</f>
        <v>0</v>
      </c>
      <c r="D29" s="76">
        <f>IFERROR(INDEX(Model_Data!$A$4:$AG$34,MATCH(D$3,Model_Data!$A$4:$A$34,0),MATCH("Expense - Ballet Shoe Cost",Model_Data!$A$3:$AG$3,0)),"")</f>
        <v>0</v>
      </c>
      <c r="E29" s="76">
        <f>IFERROR(INDEX(Model_Data!$A$4:$AG$34,MATCH(E$3,Model_Data!$A$4:$A$34,0),MATCH("Expense - Ballet Shoe Cost",Model_Data!$A$3:$AG$3,0)),"")</f>
        <v>146.99</v>
      </c>
      <c r="F29" s="76">
        <f>IFERROR(INDEX(Model_Data!$A$4:$AG$34,MATCH(F$3,Model_Data!$A$4:$A$34,0),MATCH("Expense - Ballet Shoe Cost",Model_Data!$A$3:$AG$3,0)),"")</f>
        <v>32.659999999999997</v>
      </c>
      <c r="G29" s="76">
        <f>IFERROR(INDEX(Model_Data!$A$4:$AG$34,MATCH(G$3,Model_Data!$A$4:$A$34,0),MATCH("Expense - Ballet Shoe Cost",Model_Data!$A$3:$AG$3,0)),"")</f>
        <v>32.659999999999997</v>
      </c>
      <c r="H29" s="76">
        <f>IFERROR(INDEX(Model_Data!$A$4:$AG$34,MATCH(H$3,Model_Data!$A$4:$A$34,0),MATCH("Expense - Ballet Shoe Cost",Model_Data!$A$3:$AG$3,0)),"")</f>
        <v>0</v>
      </c>
      <c r="I29" s="76">
        <f>IFERROR(INDEX(Model_Data!$A$4:$AG$34,MATCH(I$3,Model_Data!$A$4:$A$34,0),MATCH("Expense - Ballet Shoe Cost",Model_Data!$A$3:$AG$3,0)),"")</f>
        <v>57.16</v>
      </c>
      <c r="J29" s="76">
        <f>IFERROR(INDEX(Model_Data!$A$4:$AG$34,MATCH(J$3,Model_Data!$A$4:$A$34,0),MATCH("Expense - Ballet Shoe Cost",Model_Data!$A$3:$AG$3,0)),"")</f>
        <v>0</v>
      </c>
      <c r="K29" s="76">
        <f>IFERROR(INDEX(Model_Data!$A$4:$AG$34,MATCH(K$3,Model_Data!$A$4:$A$34,0),MATCH("Expense - Ballet Shoe Cost",Model_Data!$A$3:$AG$3,0)),"")</f>
        <v>61.25</v>
      </c>
      <c r="L29" s="76">
        <f>IFERROR(INDEX(Model_Data!$A$4:$AG$34,MATCH(L$3,Model_Data!$A$4:$A$34,0),MATCH("Expense - Ballet Shoe Cost",Model_Data!$A$3:$AG$3,0)),"")</f>
        <v>0</v>
      </c>
      <c r="M29" s="76">
        <f>IFERROR(INDEX(Model_Data!$A$4:$AG$34,MATCH(M$3,Model_Data!$A$4:$A$34,0),MATCH("Expense - Ballet Shoe Cost",Model_Data!$A$3:$AG$3,0)),"")</f>
        <v>40.83</v>
      </c>
      <c r="N29" s="76">
        <f>IFERROR(INDEX(Model_Data!$A$4:$AG$34,MATCH(N$3,Model_Data!$A$4:$A$34,0),MATCH("Expense - Ballet Shoe Cost",Model_Data!$A$3:$AG$3,0)),"")</f>
        <v>0</v>
      </c>
      <c r="O29" s="76">
        <f>IFERROR(INDEX(Model_Data!$A$4:$AG$34,MATCH(O$3,Model_Data!$A$4:$A$34,0),MATCH("Expense - Ballet Shoe Cost",Model_Data!$A$3:$AG$3,0)),"")</f>
        <v>0</v>
      </c>
      <c r="P29" s="76">
        <f>IFERROR(INDEX(Model_Data!$A$4:$AG$34,MATCH(P$3,Model_Data!$A$4:$A$34,0),MATCH("Expense - Ballet Shoe Cost",Model_Data!$A$3:$AG$3,0)),"")</f>
        <v>62.06</v>
      </c>
      <c r="Q29" s="76">
        <f>IFERROR(INDEX(Model_Data!$A$4:$AG$34,MATCH(Q$3,Model_Data!$A$4:$A$34,0),MATCH("Expense - Ballet Shoe Cost",Model_Data!$A$3:$AG$3,0)),"")</f>
        <v>81.66</v>
      </c>
      <c r="R29" s="76">
        <f>IFERROR(INDEX(Model_Data!$A$4:$AG$34,MATCH(R$3,Model_Data!$A$4:$A$34,0),MATCH("Expense - Ballet Shoe Cost",Model_Data!$A$3:$AG$3,0)),"")</f>
        <v>102.08</v>
      </c>
      <c r="S29" s="76">
        <f>IFERROR(INDEX(Model_Data!$A$4:$AG$34,MATCH(S$3,Model_Data!$A$4:$A$34,0),MATCH("Expense - Ballet Shoe Cost",Model_Data!$A$3:$AG$3,0)),"")</f>
        <v>40.83</v>
      </c>
      <c r="T29" s="76">
        <f>IFERROR(INDEX(Model_Data!$A$4:$AG$34,MATCH(T$3,Model_Data!$A$4:$A$34,0),MATCH("Expense - Ballet Shoe Cost",Model_Data!$A$3:$AG$3,0)),"")</f>
        <v>61.25</v>
      </c>
      <c r="U29" s="76">
        <f>IFERROR(INDEX(Model_Data!$A$4:$AG$34,MATCH(U$3,Model_Data!$A$4:$A$34,0),MATCH("Expense - Ballet Shoe Cost",Model_Data!$A$3:$AG$3,0)),"")</f>
        <v>20.420000000000002</v>
      </c>
      <c r="V29" s="76">
        <f>IFERROR(INDEX(Model_Data!$A$4:$AG$34,MATCH(V$3,Model_Data!$A$4:$A$34,0),MATCH("Expense - Ballet Shoe Cost",Model_Data!$A$3:$AG$3,0)),"")</f>
        <v>0</v>
      </c>
      <c r="W29" s="76">
        <f>IFERROR(INDEX(Model_Data!$A$4:$AG$34,MATCH(W$3,Model_Data!$A$4:$A$34,0),MATCH("Expense - Ballet Shoe Cost",Model_Data!$A$3:$AG$3,0)),"")</f>
        <v>40.83</v>
      </c>
      <c r="X29" s="76">
        <f>IFERROR(INDEX(Model_Data!$A$4:$AG$34,MATCH(X$3,Model_Data!$A$4:$A$34,0),MATCH("Expense - Ballet Shoe Cost",Model_Data!$A$3:$AG$3,0)),"")</f>
        <v>49</v>
      </c>
      <c r="Y29" s="76">
        <f>IFERROR(INDEX(Model_Data!$A$4:$AG$34,MATCH(Y$3,Model_Data!$A$4:$A$34,0),MATCH("Expense - Ballet Shoe Cost",Model_Data!$A$3:$AG$3,0)),"")</f>
        <v>24.5</v>
      </c>
      <c r="Z29" s="76">
        <f>IFERROR(INDEX(Model_Data!$A$4:$AG$34,MATCH(Z$3,Model_Data!$A$4:$A$34,0),MATCH("Expense - Ballet Shoe Cost",Model_Data!$A$3:$AG$3,0)),"")</f>
        <v>122.49</v>
      </c>
      <c r="AA29" s="76">
        <f>IFERROR(INDEX(Model_Data!$A$4:$AG$34,MATCH(AA$3,Model_Data!$A$4:$A$34,0),MATCH("Expense - Ballet Shoe Cost",Model_Data!$A$3:$AG$3,0)),"")</f>
        <v>0</v>
      </c>
      <c r="AB29" s="76">
        <f>IFERROR(INDEX(Model_Data!$A$4:$AG$34,MATCH(AB$3,Model_Data!$A$4:$A$34,0),MATCH("Expense - Ballet Shoe Cost",Model_Data!$A$3:$AG$3,0)),"")</f>
        <v>0</v>
      </c>
      <c r="AC29" s="76">
        <f>IFERROR(INDEX(Model_Data!$A$4:$AG$34,MATCH(AC$3,Model_Data!$A$4:$A$34,0),MATCH("Expense - Ballet Shoe Cost",Model_Data!$A$3:$AG$3,0)),"")</f>
        <v>53.08</v>
      </c>
      <c r="AD29" s="76">
        <f>IFERROR(INDEX(Model_Data!$A$4:$AG$34,MATCH(AD$3,Model_Data!$A$4:$A$34,0),MATCH("Expense - Ballet Shoe Cost",Model_Data!$A$3:$AG$3,0)),"")</f>
        <v>24.5</v>
      </c>
      <c r="AE29" s="76">
        <f>IFERROR(INDEX(Model_Data!$A$4:$AG$34,MATCH(AE$3,Model_Data!$A$4:$A$34,0),MATCH("Expense - Ballet Shoe Cost",Model_Data!$A$3:$AG$3,0)),"")</f>
        <v>0</v>
      </c>
      <c r="AF29" s="76">
        <f>IFERROR(INDEX(Model_Data!$A$4:$AG$34,MATCH(AF$3,Model_Data!$A$4:$A$34,0),MATCH("Expense - Ballet Shoe Cost",Model_Data!$A$3:$AG$3,0)),"")</f>
        <v>24.5</v>
      </c>
      <c r="AG29" s="76">
        <f>IFERROR(INDEX(Model_Data!$A$4:$AG$34,MATCH(AG$3,Model_Data!$A$4:$A$34,0),MATCH("Expense - Ballet Shoe Cost",Model_Data!$A$3:$AG$3,0)),"")</f>
        <v>0</v>
      </c>
      <c r="AH29" s="77">
        <f>SUM(C29:AG29)</f>
        <v>1078.75</v>
      </c>
    </row>
    <row r="30" spans="1:34" ht="15" customHeight="1">
      <c r="A30" s="16" t="s">
        <v>290</v>
      </c>
      <c r="B30" s="78" t="s">
        <v>291</v>
      </c>
      <c r="C30" s="79">
        <f>IFERROR(INDEX(Model_Data!$A$4:$AG$34,MATCH(C$3,Model_Data!$A$4:$A$34,0),MATCH("Expense - Gymnastic Suit Cost",Model_Data!$A$3:$AG$3,0)),"")</f>
        <v>0</v>
      </c>
      <c r="D30" s="79">
        <f>IFERROR(INDEX(Model_Data!$A$4:$AG$34,MATCH(D$3,Model_Data!$A$4:$A$34,0),MATCH("Expense - Gymnastic Suit Cost",Model_Data!$A$3:$AG$3,0)),"")</f>
        <v>0</v>
      </c>
      <c r="E30" s="79">
        <f>IFERROR(INDEX(Model_Data!$A$4:$AG$34,MATCH(E$3,Model_Data!$A$4:$A$34,0),MATCH("Expense - Gymnastic Suit Cost",Model_Data!$A$3:$AG$3,0)),"")</f>
        <v>234.38</v>
      </c>
      <c r="F30" s="79">
        <f>IFERROR(INDEX(Model_Data!$A$4:$AG$34,MATCH(F$3,Model_Data!$A$4:$A$34,0),MATCH("Expense - Gymnastic Suit Cost",Model_Data!$A$3:$AG$3,0)),"")</f>
        <v>0</v>
      </c>
      <c r="G30" s="79">
        <f>IFERROR(INDEX(Model_Data!$A$4:$AG$34,MATCH(G$3,Model_Data!$A$4:$A$34,0),MATCH("Expense - Gymnastic Suit Cost",Model_Data!$A$3:$AG$3,0)),"")</f>
        <v>81.25</v>
      </c>
      <c r="H30" s="79">
        <f>IFERROR(INDEX(Model_Data!$A$4:$AG$34,MATCH(H$3,Model_Data!$A$4:$A$34,0),MATCH("Expense - Gymnastic Suit Cost",Model_Data!$A$3:$AG$3,0)),"")</f>
        <v>0</v>
      </c>
      <c r="I30" s="79">
        <f>IFERROR(INDEX(Model_Data!$A$4:$AG$34,MATCH(I$3,Model_Data!$A$4:$A$34,0),MATCH("Expense - Gymnastic Suit Cost",Model_Data!$A$3:$AG$3,0)),"")</f>
        <v>531.25</v>
      </c>
      <c r="J30" s="79">
        <f>IFERROR(INDEX(Model_Data!$A$4:$AG$34,MATCH(J$3,Model_Data!$A$4:$A$34,0),MATCH("Expense - Gymnastic Suit Cost",Model_Data!$A$3:$AG$3,0)),"")</f>
        <v>0</v>
      </c>
      <c r="K30" s="79">
        <f>IFERROR(INDEX(Model_Data!$A$4:$AG$34,MATCH(K$3,Model_Data!$A$4:$A$34,0),MATCH("Expense - Gymnastic Suit Cost",Model_Data!$A$3:$AG$3,0)),"")</f>
        <v>400</v>
      </c>
      <c r="L30" s="79">
        <f>IFERROR(INDEX(Model_Data!$A$4:$AG$34,MATCH(L$3,Model_Data!$A$4:$A$34,0),MATCH("Expense - Gymnastic Suit Cost",Model_Data!$A$3:$AG$3,0)),"")</f>
        <v>0</v>
      </c>
      <c r="M30" s="79">
        <f>IFERROR(INDEX(Model_Data!$A$4:$AG$34,MATCH(M$3,Model_Data!$A$4:$A$34,0),MATCH("Expense - Gymnastic Suit Cost",Model_Data!$A$3:$AG$3,0)),"")</f>
        <v>0</v>
      </c>
      <c r="N30" s="79">
        <f>IFERROR(INDEX(Model_Data!$A$4:$AG$34,MATCH(N$3,Model_Data!$A$4:$A$34,0),MATCH("Expense - Gymnastic Suit Cost",Model_Data!$A$3:$AG$3,0)),"")</f>
        <v>312.5</v>
      </c>
      <c r="O30" s="79">
        <f>IFERROR(INDEX(Model_Data!$A$4:$AG$34,MATCH(O$3,Model_Data!$A$4:$A$34,0),MATCH("Expense - Gymnastic Suit Cost",Model_Data!$A$3:$AG$3,0)),"")</f>
        <v>0</v>
      </c>
      <c r="P30" s="79">
        <f>IFERROR(INDEX(Model_Data!$A$4:$AG$34,MATCH(P$3,Model_Data!$A$4:$A$34,0),MATCH("Expense - Gymnastic Suit Cost",Model_Data!$A$3:$AG$3,0)),"")</f>
        <v>0</v>
      </c>
      <c r="Q30" s="79">
        <f>IFERROR(INDEX(Model_Data!$A$4:$AG$34,MATCH(Q$3,Model_Data!$A$4:$A$34,0),MATCH("Expense - Gymnastic Suit Cost",Model_Data!$A$3:$AG$3,0)),"")</f>
        <v>250</v>
      </c>
      <c r="R30" s="79">
        <f>IFERROR(INDEX(Model_Data!$A$4:$AG$34,MATCH(R$3,Model_Data!$A$4:$A$34,0),MATCH("Expense - Gymnastic Suit Cost",Model_Data!$A$3:$AG$3,0)),"")</f>
        <v>493.75</v>
      </c>
      <c r="S30" s="79">
        <f>IFERROR(INDEX(Model_Data!$A$4:$AG$34,MATCH(S$3,Model_Data!$A$4:$A$34,0),MATCH("Expense - Gymnastic Suit Cost",Model_Data!$A$3:$AG$3,0)),"")</f>
        <v>181.25</v>
      </c>
      <c r="T30" s="79">
        <f>IFERROR(INDEX(Model_Data!$A$4:$AG$34,MATCH(T$3,Model_Data!$A$4:$A$34,0),MATCH("Expense - Gymnastic Suit Cost",Model_Data!$A$3:$AG$3,0)),"")</f>
        <v>100</v>
      </c>
      <c r="U30" s="79">
        <f>IFERROR(INDEX(Model_Data!$A$4:$AG$34,MATCH(U$3,Model_Data!$A$4:$A$34,0),MATCH("Expense - Gymnastic Suit Cost",Model_Data!$A$3:$AG$3,0)),"")</f>
        <v>50</v>
      </c>
      <c r="V30" s="79">
        <f>IFERROR(INDEX(Model_Data!$A$4:$AG$34,MATCH(V$3,Model_Data!$A$4:$A$34,0),MATCH("Expense - Gymnastic Suit Cost",Model_Data!$A$3:$AG$3,0)),"")</f>
        <v>0</v>
      </c>
      <c r="W30" s="79">
        <f>IFERROR(INDEX(Model_Data!$A$4:$AG$34,MATCH(W$3,Model_Data!$A$4:$A$34,0),MATCH("Expense - Gymnastic Suit Cost",Model_Data!$A$3:$AG$3,0)),"")</f>
        <v>0</v>
      </c>
      <c r="X30" s="79">
        <f>IFERROR(INDEX(Model_Data!$A$4:$AG$34,MATCH(X$3,Model_Data!$A$4:$A$34,0),MATCH("Expense - Gymnastic Suit Cost",Model_Data!$A$3:$AG$3,0)),"")</f>
        <v>150</v>
      </c>
      <c r="Y30" s="79">
        <f>IFERROR(INDEX(Model_Data!$A$4:$AG$34,MATCH(Y$3,Model_Data!$A$4:$A$34,0),MATCH("Expense - Gymnastic Suit Cost",Model_Data!$A$3:$AG$3,0)),"")</f>
        <v>0</v>
      </c>
      <c r="Z30" s="79">
        <f>IFERROR(INDEX(Model_Data!$A$4:$AG$34,MATCH(Z$3,Model_Data!$A$4:$A$34,0),MATCH("Expense - Gymnastic Suit Cost",Model_Data!$A$3:$AG$3,0)),"")</f>
        <v>50</v>
      </c>
      <c r="AA30" s="79">
        <f>IFERROR(INDEX(Model_Data!$A$4:$AG$34,MATCH(AA$3,Model_Data!$A$4:$A$34,0),MATCH("Expense - Gymnastic Suit Cost",Model_Data!$A$3:$AG$3,0)),"")</f>
        <v>0</v>
      </c>
      <c r="AB30" s="79">
        <f>IFERROR(INDEX(Model_Data!$A$4:$AG$34,MATCH(AB$3,Model_Data!$A$4:$A$34,0),MATCH("Expense - Gymnastic Suit Cost",Model_Data!$A$3:$AG$3,0)),"")</f>
        <v>150</v>
      </c>
      <c r="AC30" s="79">
        <f>IFERROR(INDEX(Model_Data!$A$4:$AG$34,MATCH(AC$3,Model_Data!$A$4:$A$34,0),MATCH("Expense - Gymnastic Suit Cost",Model_Data!$A$3:$AG$3,0)),"")</f>
        <v>100</v>
      </c>
      <c r="AD30" s="79">
        <f>IFERROR(INDEX(Model_Data!$A$4:$AG$34,MATCH(AD$3,Model_Data!$A$4:$A$34,0),MATCH("Expense - Gymnastic Suit Cost",Model_Data!$A$3:$AG$3,0)),"")</f>
        <v>0</v>
      </c>
      <c r="AE30" s="79">
        <f>IFERROR(INDEX(Model_Data!$A$4:$AG$34,MATCH(AE$3,Model_Data!$A$4:$A$34,0),MATCH("Expense - Gymnastic Suit Cost",Model_Data!$A$3:$AG$3,0)),"")</f>
        <v>50</v>
      </c>
      <c r="AF30" s="79">
        <f>IFERROR(INDEX(Model_Data!$A$4:$AG$34,MATCH(AF$3,Model_Data!$A$4:$A$34,0),MATCH("Expense - Gymnastic Suit Cost",Model_Data!$A$3:$AG$3,0)),"")</f>
        <v>0</v>
      </c>
      <c r="AG30" s="79">
        <f>IFERROR(INDEX(Model_Data!$A$4:$AG$34,MATCH(AG$3,Model_Data!$A$4:$A$34,0),MATCH("Expense - Gymnastic Suit Cost",Model_Data!$A$3:$AG$3,0)),"")</f>
        <v>0</v>
      </c>
      <c r="AH30" s="80">
        <f>SUM(C30:AG30)</f>
        <v>3134.38</v>
      </c>
    </row>
    <row r="31" spans="1:34" ht="15.75" customHeight="1">
      <c r="A31" s="81" t="s">
        <v>292</v>
      </c>
      <c r="B31" s="82"/>
      <c r="C31" s="83">
        <f>SUM(C29:C30)</f>
        <v>0</v>
      </c>
      <c r="D31" s="83">
        <f>SUM(D29:D30)</f>
        <v>0</v>
      </c>
      <c r="E31" s="83">
        <f>SUM(E29:E30)</f>
        <v>381.37</v>
      </c>
      <c r="F31" s="83">
        <f>SUM(F29:F30)</f>
        <v>32.659999999999997</v>
      </c>
      <c r="G31" s="83">
        <f>SUM(G29:G30)</f>
        <v>113.91</v>
      </c>
      <c r="H31" s="83">
        <f>SUM(H29:H30)</f>
        <v>0</v>
      </c>
      <c r="I31" s="83">
        <f>SUM(I29:I30)</f>
        <v>588.41</v>
      </c>
      <c r="J31" s="83">
        <f>SUM(J29:J30)</f>
        <v>0</v>
      </c>
      <c r="K31" s="83">
        <f>SUM(K29:K30)</f>
        <v>461.25</v>
      </c>
      <c r="L31" s="83">
        <f>SUM(L29:L30)</f>
        <v>0</v>
      </c>
      <c r="M31" s="83">
        <f>SUM(M29:M30)</f>
        <v>40.83</v>
      </c>
      <c r="N31" s="83">
        <f>SUM(N29:N30)</f>
        <v>312.5</v>
      </c>
      <c r="O31" s="83">
        <f>SUM(O29:O30)</f>
        <v>0</v>
      </c>
      <c r="P31" s="83">
        <f>SUM(P29:P30)</f>
        <v>62.06</v>
      </c>
      <c r="Q31" s="83">
        <f>SUM(Q29:Q30)</f>
        <v>331.65999999999997</v>
      </c>
      <c r="R31" s="83">
        <f>SUM(R29:R30)</f>
        <v>595.83000000000004</v>
      </c>
      <c r="S31" s="83">
        <f>SUM(S29:S30)</f>
        <v>222.07999999999998</v>
      </c>
      <c r="T31" s="83">
        <f>SUM(T29:T30)</f>
        <v>161.25</v>
      </c>
      <c r="U31" s="83">
        <f>SUM(U29:U30)</f>
        <v>70.42</v>
      </c>
      <c r="V31" s="83">
        <f>SUM(V29:V30)</f>
        <v>0</v>
      </c>
      <c r="W31" s="83">
        <f>SUM(W29:W30)</f>
        <v>40.83</v>
      </c>
      <c r="X31" s="83">
        <f>SUM(X29:X30)</f>
        <v>199</v>
      </c>
      <c r="Y31" s="83">
        <f>SUM(Y29:Y30)</f>
        <v>24.5</v>
      </c>
      <c r="Z31" s="83">
        <f>SUM(Z29:Z30)</f>
        <v>172.49</v>
      </c>
      <c r="AA31" s="83">
        <f>SUM(AA29:AA30)</f>
        <v>0</v>
      </c>
      <c r="AB31" s="83">
        <f>SUM(AB29:AB30)</f>
        <v>150</v>
      </c>
      <c r="AC31" s="83">
        <f>SUM(AC29:AC30)</f>
        <v>153.07999999999998</v>
      </c>
      <c r="AD31" s="83">
        <f>SUM(AD29:AD30)</f>
        <v>24.5</v>
      </c>
      <c r="AE31" s="83">
        <f>SUM(AE29:AE30)</f>
        <v>50</v>
      </c>
      <c r="AF31" s="83">
        <f>SUM(AF29:AF30)</f>
        <v>24.5</v>
      </c>
      <c r="AG31" s="83">
        <f>SUM(AG29:AG30)</f>
        <v>0</v>
      </c>
      <c r="AH31" s="83">
        <f>SUM(AH29:AH30)</f>
        <v>4213.13</v>
      </c>
    </row>
    <row r="32" spans="1:34" ht="3.75" customHeight="1">
      <c r="A32" s="84"/>
      <c r="B32" s="84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</row>
    <row r="33" spans="1:34" ht="15" customHeight="1">
      <c r="A33" s="268" t="s">
        <v>293</v>
      </c>
      <c r="B33" s="268"/>
      <c r="C33" s="268"/>
      <c r="D33" s="268"/>
      <c r="E33" s="268"/>
      <c r="F33" s="268"/>
      <c r="G33" s="268"/>
      <c r="H33" s="268"/>
      <c r="I33" s="268"/>
      <c r="J33" s="268"/>
      <c r="K33" s="268"/>
      <c r="L33" s="268"/>
      <c r="M33" s="268"/>
      <c r="N33" s="268"/>
      <c r="O33" s="268"/>
      <c r="P33" s="268"/>
      <c r="Q33" s="268"/>
      <c r="R33" s="268"/>
      <c r="S33" s="268"/>
      <c r="T33" s="268"/>
      <c r="U33" s="268"/>
      <c r="V33" s="268"/>
      <c r="W33" s="268"/>
      <c r="X33" s="268"/>
      <c r="Y33" s="268"/>
      <c r="Z33" s="268"/>
      <c r="AA33" s="268"/>
      <c r="AB33" s="268"/>
      <c r="AC33" s="268"/>
      <c r="AD33" s="268"/>
      <c r="AE33" s="268"/>
      <c r="AF33" s="268"/>
      <c r="AG33" s="268"/>
      <c r="AH33" s="268"/>
    </row>
    <row r="34" spans="1:34" ht="15" customHeight="1">
      <c r="A34" s="74" t="s">
        <v>294</v>
      </c>
      <c r="B34" s="75" t="s">
        <v>295</v>
      </c>
      <c r="C34" s="76">
        <f>IFERROR(INDEX(Model_Data!$A$4:$AG$34,MATCH(C$3,Model_Data!$A$4:$A$34,0),MATCH("Expense - Payroll",Model_Data!$A$3:$AG$3,0)),"")</f>
        <v>0</v>
      </c>
      <c r="D34" s="76">
        <f>IFERROR(INDEX(Model_Data!$A$4:$AG$34,MATCH(D$3,Model_Data!$A$4:$A$34,0),MATCH("Expense - Payroll",Model_Data!$A$3:$AG$3,0)),"")</f>
        <v>0</v>
      </c>
      <c r="E34" s="76">
        <f>IFERROR(INDEX(Model_Data!$A$4:$AG$34,MATCH(E$3,Model_Data!$A$4:$A$34,0),MATCH("Expense - Payroll",Model_Data!$A$3:$AG$3,0)),"")</f>
        <v>462.5</v>
      </c>
      <c r="F34" s="76">
        <f>IFERROR(INDEX(Model_Data!$A$4:$AG$34,MATCH(F$3,Model_Data!$A$4:$A$34,0),MATCH("Expense - Payroll",Model_Data!$A$3:$AG$3,0)),"")</f>
        <v>412.5</v>
      </c>
      <c r="G34" s="76">
        <f>IFERROR(INDEX(Model_Data!$A$4:$AG$34,MATCH(G$3,Model_Data!$A$4:$A$34,0),MATCH("Expense - Payroll",Model_Data!$A$3:$AG$3,0)),"")</f>
        <v>150</v>
      </c>
      <c r="H34" s="76">
        <f>IFERROR(INDEX(Model_Data!$A$4:$AG$34,MATCH(H$3,Model_Data!$A$4:$A$34,0),MATCH("Expense - Payroll",Model_Data!$A$3:$AG$3,0)),"")</f>
        <v>625</v>
      </c>
      <c r="I34" s="76">
        <f>IFERROR(INDEX(Model_Data!$A$4:$AG$34,MATCH(I$3,Model_Data!$A$4:$A$34,0),MATCH("Expense - Payroll",Model_Data!$A$3:$AG$3,0)),"")</f>
        <v>862.5</v>
      </c>
      <c r="J34" s="76">
        <f>IFERROR(INDEX(Model_Data!$A$4:$AG$34,MATCH(J$3,Model_Data!$A$4:$A$34,0),MATCH("Expense - Payroll",Model_Data!$A$3:$AG$3,0)),"")</f>
        <v>750</v>
      </c>
      <c r="K34" s="76">
        <f>IFERROR(INDEX(Model_Data!$A$4:$AG$34,MATCH(K$3,Model_Data!$A$4:$A$34,0),MATCH("Expense - Payroll",Model_Data!$A$3:$AG$3,0)),"")</f>
        <v>1867.5</v>
      </c>
      <c r="L34" s="76">
        <f>IFERROR(INDEX(Model_Data!$A$4:$AG$34,MATCH(L$3,Model_Data!$A$4:$A$34,0),MATCH("Expense - Payroll",Model_Data!$A$3:$AG$3,0)),"")</f>
        <v>562.5</v>
      </c>
      <c r="M34" s="76">
        <f>IFERROR(INDEX(Model_Data!$A$4:$AG$34,MATCH(M$3,Model_Data!$A$4:$A$34,0),MATCH("Expense - Payroll",Model_Data!$A$3:$AG$3,0)),"")</f>
        <v>1550</v>
      </c>
      <c r="N34" s="76">
        <f>IFERROR(INDEX(Model_Data!$A$4:$AG$34,MATCH(N$3,Model_Data!$A$4:$A$34,0),MATCH("Expense - Payroll",Model_Data!$A$3:$AG$3,0)),"")</f>
        <v>1550</v>
      </c>
      <c r="O34" s="76">
        <f>IFERROR(INDEX(Model_Data!$A$4:$AG$34,MATCH(O$3,Model_Data!$A$4:$A$34,0),MATCH("Expense - Payroll",Model_Data!$A$3:$AG$3,0)),"")</f>
        <v>400</v>
      </c>
      <c r="P34" s="76">
        <f>IFERROR(INDEX(Model_Data!$A$4:$AG$34,MATCH(P$3,Model_Data!$A$4:$A$34,0),MATCH("Expense - Payroll",Model_Data!$A$3:$AG$3,0)),"")</f>
        <v>1325</v>
      </c>
      <c r="Q34" s="76">
        <f>IFERROR(INDEX(Model_Data!$A$4:$AG$34,MATCH(Q$3,Model_Data!$A$4:$A$34,0),MATCH("Expense - Payroll",Model_Data!$A$3:$AG$3,0)),"")</f>
        <v>900</v>
      </c>
      <c r="R34" s="76">
        <f>IFERROR(INDEX(Model_Data!$A$4:$AG$34,MATCH(R$3,Model_Data!$A$4:$A$34,0),MATCH("Expense - Payroll",Model_Data!$A$3:$AG$3,0)),"")</f>
        <v>2551.25</v>
      </c>
      <c r="S34" s="76">
        <f>IFERROR(INDEX(Model_Data!$A$4:$AG$34,MATCH(S$3,Model_Data!$A$4:$A$34,0),MATCH("Expense - Payroll",Model_Data!$A$3:$AG$3,0)),"")</f>
        <v>1975</v>
      </c>
      <c r="T34" s="76">
        <f>IFERROR(INDEX(Model_Data!$A$4:$AG$34,MATCH(T$3,Model_Data!$A$4:$A$34,0),MATCH("Expense - Payroll",Model_Data!$A$3:$AG$3,0)),"")</f>
        <v>1350</v>
      </c>
      <c r="U34" s="76">
        <f>IFERROR(INDEX(Model_Data!$A$4:$AG$34,MATCH(U$3,Model_Data!$A$4:$A$34,0),MATCH("Expense - Payroll",Model_Data!$A$3:$AG$3,0)),"")</f>
        <v>950</v>
      </c>
      <c r="V34" s="76">
        <f>IFERROR(INDEX(Model_Data!$A$4:$AG$34,MATCH(V$3,Model_Data!$A$4:$A$34,0),MATCH("Expense - Payroll",Model_Data!$A$3:$AG$3,0)),"")</f>
        <v>1550</v>
      </c>
      <c r="W34" s="76">
        <f>IFERROR(INDEX(Model_Data!$A$4:$AG$34,MATCH(W$3,Model_Data!$A$4:$A$34,0),MATCH("Expense - Payroll",Model_Data!$A$3:$AG$3,0)),"")</f>
        <v>2412.5</v>
      </c>
      <c r="X34" s="76">
        <f>IFERROR(INDEX(Model_Data!$A$4:$AG$34,MATCH(X$3,Model_Data!$A$4:$A$34,0),MATCH("Expense - Payroll",Model_Data!$A$3:$AG$3,0)),"")</f>
        <v>2625</v>
      </c>
      <c r="Y34" s="76">
        <f>IFERROR(INDEX(Model_Data!$A$4:$AG$34,MATCH(Y$3,Model_Data!$A$4:$A$34,0),MATCH("Expense - Payroll",Model_Data!$A$3:$AG$3,0)),"")</f>
        <v>750</v>
      </c>
      <c r="Z34" s="76">
        <f>IFERROR(INDEX(Model_Data!$A$4:$AG$34,MATCH(Z$3,Model_Data!$A$4:$A$34,0),MATCH("Expense - Payroll",Model_Data!$A$3:$AG$3,0)),"")</f>
        <v>2546.88</v>
      </c>
      <c r="AA34" s="76">
        <f>IFERROR(INDEX(Model_Data!$A$4:$AG$34,MATCH(AA$3,Model_Data!$A$4:$A$34,0),MATCH("Expense - Payroll",Model_Data!$A$3:$AG$3,0)),"")</f>
        <v>750</v>
      </c>
      <c r="AB34" s="76">
        <f>IFERROR(INDEX(Model_Data!$A$4:$AG$34,MATCH(AB$3,Model_Data!$A$4:$A$34,0),MATCH("Expense - Payroll",Model_Data!$A$3:$AG$3,0)),"")</f>
        <v>2625</v>
      </c>
      <c r="AC34" s="76">
        <f>IFERROR(INDEX(Model_Data!$A$4:$AG$34,MATCH(AC$3,Model_Data!$A$4:$A$34,0),MATCH("Expense - Payroll",Model_Data!$A$3:$AG$3,0)),"")</f>
        <v>2390.62</v>
      </c>
      <c r="AD34" s="76">
        <f>IFERROR(INDEX(Model_Data!$A$4:$AG$34,MATCH(AD$3,Model_Data!$A$4:$A$34,0),MATCH("Expense - Payroll",Model_Data!$A$3:$AG$3,0)),"")</f>
        <v>2703.12</v>
      </c>
      <c r="AE34" s="76">
        <f>IFERROR(INDEX(Model_Data!$A$4:$AG$34,MATCH(AE$3,Model_Data!$A$4:$A$34,0),MATCH("Expense - Payroll",Model_Data!$A$3:$AG$3,0)),"")</f>
        <v>2468.75</v>
      </c>
      <c r="AF34" s="76">
        <f>IFERROR(INDEX(Model_Data!$A$4:$AG$34,MATCH(AF$3,Model_Data!$A$4:$A$34,0),MATCH("Expense - Payroll",Model_Data!$A$3:$AG$3,0)),"")</f>
        <v>2030</v>
      </c>
      <c r="AG34" s="76">
        <f>IFERROR(INDEX(Model_Data!$A$4:$AG$34,MATCH(AG$3,Model_Data!$A$4:$A$34,0),MATCH("Expense - Payroll",Model_Data!$A$3:$AG$3,0)),"")</f>
        <v>0</v>
      </c>
      <c r="AH34" s="77">
        <f>SUM(C34:AG34)</f>
        <v>41095.620000000003</v>
      </c>
    </row>
    <row r="35" spans="1:34" ht="15" customHeight="1">
      <c r="A35" s="16" t="s">
        <v>296</v>
      </c>
      <c r="B35" s="78" t="s">
        <v>297</v>
      </c>
      <c r="C35" s="79">
        <f>IFERROR(INDEX(Model_Data!$A$4:$AG$34,MATCH(C$3,Model_Data!$A$4:$A$34,0),MATCH("Expense - Class Supplies",Model_Data!$A$3:$AG$3,0)),"")</f>
        <v>0</v>
      </c>
      <c r="D35" s="79">
        <f>IFERROR(INDEX(Model_Data!$A$4:$AG$34,MATCH(D$3,Model_Data!$A$4:$A$34,0),MATCH("Expense - Class Supplies",Model_Data!$A$3:$AG$3,0)),"")</f>
        <v>0</v>
      </c>
      <c r="E35" s="79">
        <f>IFERROR(INDEX(Model_Data!$A$4:$AG$34,MATCH(E$3,Model_Data!$A$4:$A$34,0),MATCH("Expense - Class Supplies",Model_Data!$A$3:$AG$3,0)),"")</f>
        <v>0</v>
      </c>
      <c r="F35" s="79">
        <f>IFERROR(INDEX(Model_Data!$A$4:$AG$34,MATCH(F$3,Model_Data!$A$4:$A$34,0),MATCH("Expense - Class Supplies",Model_Data!$A$3:$AG$3,0)),"")</f>
        <v>50</v>
      </c>
      <c r="G35" s="79">
        <f>IFERROR(INDEX(Model_Data!$A$4:$AG$34,MATCH(G$3,Model_Data!$A$4:$A$34,0),MATCH("Expense - Class Supplies",Model_Data!$A$3:$AG$3,0)),"")</f>
        <v>131.25</v>
      </c>
      <c r="H35" s="79">
        <f>IFERROR(INDEX(Model_Data!$A$4:$AG$34,MATCH(H$3,Model_Data!$A$4:$A$34,0),MATCH("Expense - Class Supplies",Model_Data!$A$3:$AG$3,0)),"")</f>
        <v>0</v>
      </c>
      <c r="I35" s="79">
        <f>IFERROR(INDEX(Model_Data!$A$4:$AG$34,MATCH(I$3,Model_Data!$A$4:$A$34,0),MATCH("Expense - Class Supplies",Model_Data!$A$3:$AG$3,0)),"")</f>
        <v>0</v>
      </c>
      <c r="J35" s="79">
        <f>IFERROR(INDEX(Model_Data!$A$4:$AG$34,MATCH(J$3,Model_Data!$A$4:$A$34,0),MATCH("Expense - Class Supplies",Model_Data!$A$3:$AG$3,0)),"")</f>
        <v>87.5</v>
      </c>
      <c r="K35" s="79">
        <f>IFERROR(INDEX(Model_Data!$A$4:$AG$34,MATCH(K$3,Model_Data!$A$4:$A$34,0),MATCH("Expense - Class Supplies",Model_Data!$A$3:$AG$3,0)),"")</f>
        <v>0</v>
      </c>
      <c r="L35" s="79">
        <f>IFERROR(INDEX(Model_Data!$A$4:$AG$34,MATCH(L$3,Model_Data!$A$4:$A$34,0),MATCH("Expense - Class Supplies",Model_Data!$A$3:$AG$3,0)),"")</f>
        <v>0</v>
      </c>
      <c r="M35" s="79">
        <f>IFERROR(INDEX(Model_Data!$A$4:$AG$34,MATCH(M$3,Model_Data!$A$4:$A$34,0),MATCH("Expense - Class Supplies",Model_Data!$A$3:$AG$3,0)),"")</f>
        <v>0</v>
      </c>
      <c r="N35" s="79">
        <f>IFERROR(INDEX(Model_Data!$A$4:$AG$34,MATCH(N$3,Model_Data!$A$4:$A$34,0),MATCH("Expense - Class Supplies",Model_Data!$A$3:$AG$3,0)),"")</f>
        <v>0</v>
      </c>
      <c r="O35" s="79">
        <f>IFERROR(INDEX(Model_Data!$A$4:$AG$34,MATCH(O$3,Model_Data!$A$4:$A$34,0),MATCH("Expense - Class Supplies",Model_Data!$A$3:$AG$3,0)),"")</f>
        <v>0</v>
      </c>
      <c r="P35" s="79">
        <f>IFERROR(INDEX(Model_Data!$A$4:$AG$34,MATCH(P$3,Model_Data!$A$4:$A$34,0),MATCH("Expense - Class Supplies",Model_Data!$A$3:$AG$3,0)),"")</f>
        <v>237.5</v>
      </c>
      <c r="Q35" s="79">
        <f>IFERROR(INDEX(Model_Data!$A$4:$AG$34,MATCH(Q$3,Model_Data!$A$4:$A$34,0),MATCH("Expense - Class Supplies",Model_Data!$A$3:$AG$3,0)),"")</f>
        <v>0</v>
      </c>
      <c r="R35" s="79">
        <f>IFERROR(INDEX(Model_Data!$A$4:$AG$34,MATCH(R$3,Model_Data!$A$4:$A$34,0),MATCH("Expense - Class Supplies",Model_Data!$A$3:$AG$3,0)),"")</f>
        <v>0</v>
      </c>
      <c r="S35" s="79">
        <f>IFERROR(INDEX(Model_Data!$A$4:$AG$34,MATCH(S$3,Model_Data!$A$4:$A$34,0),MATCH("Expense - Class Supplies",Model_Data!$A$3:$AG$3,0)),"")</f>
        <v>268.75</v>
      </c>
      <c r="T35" s="79">
        <f>IFERROR(INDEX(Model_Data!$A$4:$AG$34,MATCH(T$3,Model_Data!$A$4:$A$34,0),MATCH("Expense - Class Supplies",Model_Data!$A$3:$AG$3,0)),"")</f>
        <v>0</v>
      </c>
      <c r="U35" s="79">
        <f>IFERROR(INDEX(Model_Data!$A$4:$AG$34,MATCH(U$3,Model_Data!$A$4:$A$34,0),MATCH("Expense - Class Supplies",Model_Data!$A$3:$AG$3,0)),"")</f>
        <v>0</v>
      </c>
      <c r="V35" s="79">
        <f>IFERROR(INDEX(Model_Data!$A$4:$AG$34,MATCH(V$3,Model_Data!$A$4:$A$34,0),MATCH("Expense - Class Supplies",Model_Data!$A$3:$AG$3,0)),"")</f>
        <v>0</v>
      </c>
      <c r="W35" s="79">
        <f>IFERROR(INDEX(Model_Data!$A$4:$AG$34,MATCH(W$3,Model_Data!$A$4:$A$34,0),MATCH("Expense - Class Supplies",Model_Data!$A$3:$AG$3,0)),"")</f>
        <v>0</v>
      </c>
      <c r="X35" s="79">
        <f>IFERROR(INDEX(Model_Data!$A$4:$AG$34,MATCH(X$3,Model_Data!$A$4:$A$34,0),MATCH("Expense - Class Supplies",Model_Data!$A$3:$AG$3,0)),"")</f>
        <v>0</v>
      </c>
      <c r="Y35" s="79">
        <f>IFERROR(INDEX(Model_Data!$A$4:$AG$34,MATCH(Y$3,Model_Data!$A$4:$A$34,0),MATCH("Expense - Class Supplies",Model_Data!$A$3:$AG$3,0)),"")</f>
        <v>0</v>
      </c>
      <c r="Z35" s="79">
        <f>IFERROR(INDEX(Model_Data!$A$4:$AG$34,MATCH(Z$3,Model_Data!$A$4:$A$34,0),MATCH("Expense - Class Supplies",Model_Data!$A$3:$AG$3,0)),"")</f>
        <v>0</v>
      </c>
      <c r="AA35" s="79">
        <f>IFERROR(INDEX(Model_Data!$A$4:$AG$34,MATCH(AA$3,Model_Data!$A$4:$A$34,0),MATCH("Expense - Class Supplies",Model_Data!$A$3:$AG$3,0)),"")</f>
        <v>0</v>
      </c>
      <c r="AB35" s="79">
        <f>IFERROR(INDEX(Model_Data!$A$4:$AG$34,MATCH(AB$3,Model_Data!$A$4:$A$34,0),MATCH("Expense - Class Supplies",Model_Data!$A$3:$AG$3,0)),"")</f>
        <v>0</v>
      </c>
      <c r="AC35" s="79">
        <f>IFERROR(INDEX(Model_Data!$A$4:$AG$34,MATCH(AC$3,Model_Data!$A$4:$A$34,0),MATCH("Expense - Class Supplies",Model_Data!$A$3:$AG$3,0)),"")</f>
        <v>0</v>
      </c>
      <c r="AD35" s="79">
        <f>IFERROR(INDEX(Model_Data!$A$4:$AG$34,MATCH(AD$3,Model_Data!$A$4:$A$34,0),MATCH("Expense - Class Supplies",Model_Data!$A$3:$AG$3,0)),"")</f>
        <v>0</v>
      </c>
      <c r="AE35" s="79">
        <f>IFERROR(INDEX(Model_Data!$A$4:$AG$34,MATCH(AE$3,Model_Data!$A$4:$A$34,0),MATCH("Expense - Class Supplies",Model_Data!$A$3:$AG$3,0)),"")</f>
        <v>0</v>
      </c>
      <c r="AF35" s="79">
        <f>IFERROR(INDEX(Model_Data!$A$4:$AG$34,MATCH(AF$3,Model_Data!$A$4:$A$34,0),MATCH("Expense - Class Supplies",Model_Data!$A$3:$AG$3,0)),"")</f>
        <v>0</v>
      </c>
      <c r="AG35" s="79">
        <f>IFERROR(INDEX(Model_Data!$A$4:$AG$34,MATCH(AG$3,Model_Data!$A$4:$A$34,0),MATCH("Expense - Class Supplies",Model_Data!$A$3:$AG$3,0)),"")</f>
        <v>0</v>
      </c>
      <c r="AH35" s="80">
        <f>SUM(C35:AG35)</f>
        <v>775</v>
      </c>
    </row>
    <row r="36" spans="1:34" ht="15" customHeight="1">
      <c r="A36" s="74" t="s">
        <v>298</v>
      </c>
      <c r="B36" s="75" t="s">
        <v>299</v>
      </c>
      <c r="C36" s="76">
        <f>IFERROR(INDEX(Model_Data!$A$4:$AG$34,MATCH(C$3,Model_Data!$A$4:$A$34,0),MATCH("Expense - Events and Competitions",Model_Data!$A$3:$AG$3,0)),"")</f>
        <v>0</v>
      </c>
      <c r="D36" s="76">
        <f>IFERROR(INDEX(Model_Data!$A$4:$AG$34,MATCH(D$3,Model_Data!$A$4:$A$34,0),MATCH("Expense - Events and Competitions",Model_Data!$A$3:$AG$3,0)),"")</f>
        <v>0</v>
      </c>
      <c r="E36" s="76">
        <f>IFERROR(INDEX(Model_Data!$A$4:$AG$34,MATCH(E$3,Model_Data!$A$4:$A$34,0),MATCH("Expense - Events and Competitions",Model_Data!$A$3:$AG$3,0)),"")</f>
        <v>0</v>
      </c>
      <c r="F36" s="76">
        <f>IFERROR(INDEX(Model_Data!$A$4:$AG$34,MATCH(F$3,Model_Data!$A$4:$A$34,0),MATCH("Expense - Events and Competitions",Model_Data!$A$3:$AG$3,0)),"")</f>
        <v>0</v>
      </c>
      <c r="G36" s="76">
        <f>IFERROR(INDEX(Model_Data!$A$4:$AG$34,MATCH(G$3,Model_Data!$A$4:$A$34,0),MATCH("Expense - Events and Competitions",Model_Data!$A$3:$AG$3,0)),"")</f>
        <v>0</v>
      </c>
      <c r="H36" s="76">
        <f>IFERROR(INDEX(Model_Data!$A$4:$AG$34,MATCH(H$3,Model_Data!$A$4:$A$34,0),MATCH("Expense - Events and Competitions",Model_Data!$A$3:$AG$3,0)),"")</f>
        <v>0</v>
      </c>
      <c r="I36" s="76">
        <f>IFERROR(INDEX(Model_Data!$A$4:$AG$34,MATCH(I$3,Model_Data!$A$4:$A$34,0),MATCH("Expense - Events and Competitions",Model_Data!$A$3:$AG$3,0)),"")</f>
        <v>0</v>
      </c>
      <c r="J36" s="76">
        <f>IFERROR(INDEX(Model_Data!$A$4:$AG$34,MATCH(J$3,Model_Data!$A$4:$A$34,0),MATCH("Expense - Events and Competitions",Model_Data!$A$3:$AG$3,0)),"")</f>
        <v>0</v>
      </c>
      <c r="K36" s="76">
        <f>IFERROR(INDEX(Model_Data!$A$4:$AG$34,MATCH(K$3,Model_Data!$A$4:$A$34,0),MATCH("Expense - Events and Competitions",Model_Data!$A$3:$AG$3,0)),"")</f>
        <v>0</v>
      </c>
      <c r="L36" s="76">
        <f>IFERROR(INDEX(Model_Data!$A$4:$AG$34,MATCH(L$3,Model_Data!$A$4:$A$34,0),MATCH("Expense - Events and Competitions",Model_Data!$A$3:$AG$3,0)),"")</f>
        <v>0</v>
      </c>
      <c r="M36" s="76">
        <f>IFERROR(INDEX(Model_Data!$A$4:$AG$34,MATCH(M$3,Model_Data!$A$4:$A$34,0),MATCH("Expense - Events and Competitions",Model_Data!$A$3:$AG$3,0)),"")</f>
        <v>0</v>
      </c>
      <c r="N36" s="76">
        <f>IFERROR(INDEX(Model_Data!$A$4:$AG$34,MATCH(N$3,Model_Data!$A$4:$A$34,0),MATCH("Expense - Events and Competitions",Model_Data!$A$3:$AG$3,0)),"")</f>
        <v>0</v>
      </c>
      <c r="O36" s="76">
        <f>IFERROR(INDEX(Model_Data!$A$4:$AG$34,MATCH(O$3,Model_Data!$A$4:$A$34,0),MATCH("Expense - Events and Competitions",Model_Data!$A$3:$AG$3,0)),"")</f>
        <v>0</v>
      </c>
      <c r="P36" s="76">
        <f>IFERROR(INDEX(Model_Data!$A$4:$AG$34,MATCH(P$3,Model_Data!$A$4:$A$34,0),MATCH("Expense - Events and Competitions",Model_Data!$A$3:$AG$3,0)),"")</f>
        <v>97.25</v>
      </c>
      <c r="Q36" s="76">
        <f>IFERROR(INDEX(Model_Data!$A$4:$AG$34,MATCH(Q$3,Model_Data!$A$4:$A$34,0),MATCH("Expense - Events and Competitions",Model_Data!$A$3:$AG$3,0)),"")</f>
        <v>0</v>
      </c>
      <c r="R36" s="76">
        <f>IFERROR(INDEX(Model_Data!$A$4:$AG$34,MATCH(R$3,Model_Data!$A$4:$A$34,0),MATCH("Expense - Events and Competitions",Model_Data!$A$3:$AG$3,0)),"")</f>
        <v>0</v>
      </c>
      <c r="S36" s="76">
        <f>IFERROR(INDEX(Model_Data!$A$4:$AG$34,MATCH(S$3,Model_Data!$A$4:$A$34,0),MATCH("Expense - Events and Competitions",Model_Data!$A$3:$AG$3,0)),"")</f>
        <v>0</v>
      </c>
      <c r="T36" s="76">
        <f>IFERROR(INDEX(Model_Data!$A$4:$AG$34,MATCH(T$3,Model_Data!$A$4:$A$34,0),MATCH("Expense - Events and Competitions",Model_Data!$A$3:$AG$3,0)),"")</f>
        <v>0</v>
      </c>
      <c r="U36" s="76">
        <f>IFERROR(INDEX(Model_Data!$A$4:$AG$34,MATCH(U$3,Model_Data!$A$4:$A$34,0),MATCH("Expense - Events and Competitions",Model_Data!$A$3:$AG$3,0)),"")</f>
        <v>0</v>
      </c>
      <c r="V36" s="76">
        <f>IFERROR(INDEX(Model_Data!$A$4:$AG$34,MATCH(V$3,Model_Data!$A$4:$A$34,0),MATCH("Expense - Events and Competitions",Model_Data!$A$3:$AG$3,0)),"")</f>
        <v>0</v>
      </c>
      <c r="W36" s="76">
        <f>IFERROR(INDEX(Model_Data!$A$4:$AG$34,MATCH(W$3,Model_Data!$A$4:$A$34,0),MATCH("Expense - Events and Competitions",Model_Data!$A$3:$AG$3,0)),"")</f>
        <v>0</v>
      </c>
      <c r="X36" s="76">
        <f>IFERROR(INDEX(Model_Data!$A$4:$AG$34,MATCH(X$3,Model_Data!$A$4:$A$34,0),MATCH("Expense - Events and Competitions",Model_Data!$A$3:$AG$3,0)),"")</f>
        <v>0</v>
      </c>
      <c r="Y36" s="76">
        <f>IFERROR(INDEX(Model_Data!$A$4:$AG$34,MATCH(Y$3,Model_Data!$A$4:$A$34,0),MATCH("Expense - Events and Competitions",Model_Data!$A$3:$AG$3,0)),"")</f>
        <v>0</v>
      </c>
      <c r="Z36" s="76">
        <f>IFERROR(INDEX(Model_Data!$A$4:$AG$34,MATCH(Z$3,Model_Data!$A$4:$A$34,0),MATCH("Expense - Events and Competitions",Model_Data!$A$3:$AG$3,0)),"")</f>
        <v>0</v>
      </c>
      <c r="AA36" s="76">
        <f>IFERROR(INDEX(Model_Data!$A$4:$AG$34,MATCH(AA$3,Model_Data!$A$4:$A$34,0),MATCH("Expense - Events and Competitions",Model_Data!$A$3:$AG$3,0)),"")</f>
        <v>0</v>
      </c>
      <c r="AB36" s="76">
        <f>IFERROR(INDEX(Model_Data!$A$4:$AG$34,MATCH(AB$3,Model_Data!$A$4:$A$34,0),MATCH("Expense - Events and Competitions",Model_Data!$A$3:$AG$3,0)),"")</f>
        <v>100</v>
      </c>
      <c r="AC36" s="76">
        <f>IFERROR(INDEX(Model_Data!$A$4:$AG$34,MATCH(AC$3,Model_Data!$A$4:$A$34,0),MATCH("Expense - Events and Competitions",Model_Data!$A$3:$AG$3,0)),"")</f>
        <v>0</v>
      </c>
      <c r="AD36" s="76">
        <f>IFERROR(INDEX(Model_Data!$A$4:$AG$34,MATCH(AD$3,Model_Data!$A$4:$A$34,0),MATCH("Expense - Events and Competitions",Model_Data!$A$3:$AG$3,0)),"")</f>
        <v>0</v>
      </c>
      <c r="AE36" s="76">
        <f>IFERROR(INDEX(Model_Data!$A$4:$AG$34,MATCH(AE$3,Model_Data!$A$4:$A$34,0),MATCH("Expense - Events and Competitions",Model_Data!$A$3:$AG$3,0)),"")</f>
        <v>0</v>
      </c>
      <c r="AF36" s="76">
        <f>IFERROR(INDEX(Model_Data!$A$4:$AG$34,MATCH(AF$3,Model_Data!$A$4:$A$34,0),MATCH("Expense - Events and Competitions",Model_Data!$A$3:$AG$3,0)),"")</f>
        <v>0</v>
      </c>
      <c r="AG36" s="76">
        <f>IFERROR(INDEX(Model_Data!$A$4:$AG$34,MATCH(AG$3,Model_Data!$A$4:$A$34,0),MATCH("Expense - Events and Competitions",Model_Data!$A$3:$AG$3,0)),"")</f>
        <v>0</v>
      </c>
      <c r="AH36" s="77">
        <f>SUM(C36:AG36)</f>
        <v>197.25</v>
      </c>
    </row>
    <row r="37" spans="1:34" ht="15.75" customHeight="1">
      <c r="A37" s="81" t="s">
        <v>300</v>
      </c>
      <c r="B37" s="82"/>
      <c r="C37" s="83">
        <f>SUM(C34:C36)</f>
        <v>0</v>
      </c>
      <c r="D37" s="83">
        <f>SUM(D34:D36)</f>
        <v>0</v>
      </c>
      <c r="E37" s="83">
        <f>SUM(E34:E36)</f>
        <v>462.5</v>
      </c>
      <c r="F37" s="83">
        <f>SUM(F34:F36)</f>
        <v>462.5</v>
      </c>
      <c r="G37" s="83">
        <f>SUM(G34:G36)</f>
        <v>281.25</v>
      </c>
      <c r="H37" s="83">
        <f>SUM(H34:H36)</f>
        <v>625</v>
      </c>
      <c r="I37" s="83">
        <f>SUM(I34:I36)</f>
        <v>862.5</v>
      </c>
      <c r="J37" s="83">
        <f>SUM(J34:J36)</f>
        <v>837.5</v>
      </c>
      <c r="K37" s="83">
        <f>SUM(K34:K36)</f>
        <v>1867.5</v>
      </c>
      <c r="L37" s="83">
        <f>SUM(L34:L36)</f>
        <v>562.5</v>
      </c>
      <c r="M37" s="83">
        <f>SUM(M34:M36)</f>
        <v>1550</v>
      </c>
      <c r="N37" s="83">
        <f>SUM(N34:N36)</f>
        <v>1550</v>
      </c>
      <c r="O37" s="83">
        <f>SUM(O34:O36)</f>
        <v>400</v>
      </c>
      <c r="P37" s="83">
        <f>SUM(P34:P36)</f>
        <v>1659.75</v>
      </c>
      <c r="Q37" s="83">
        <f>SUM(Q34:Q36)</f>
        <v>900</v>
      </c>
      <c r="R37" s="83">
        <f>SUM(R34:R36)</f>
        <v>2551.25</v>
      </c>
      <c r="S37" s="83">
        <f>SUM(S34:S36)</f>
        <v>2243.75</v>
      </c>
      <c r="T37" s="83">
        <f>SUM(T34:T36)</f>
        <v>1350</v>
      </c>
      <c r="U37" s="83">
        <f>SUM(U34:U36)</f>
        <v>950</v>
      </c>
      <c r="V37" s="83">
        <f>SUM(V34:V36)</f>
        <v>1550</v>
      </c>
      <c r="W37" s="83">
        <f>SUM(W34:W36)</f>
        <v>2412.5</v>
      </c>
      <c r="X37" s="83">
        <f>SUM(X34:X36)</f>
        <v>2625</v>
      </c>
      <c r="Y37" s="83">
        <f>SUM(Y34:Y36)</f>
        <v>750</v>
      </c>
      <c r="Z37" s="83">
        <f>SUM(Z34:Z36)</f>
        <v>2546.88</v>
      </c>
      <c r="AA37" s="83">
        <f>SUM(AA34:AA36)</f>
        <v>750</v>
      </c>
      <c r="AB37" s="83">
        <f>SUM(AB34:AB36)</f>
        <v>2725</v>
      </c>
      <c r="AC37" s="83">
        <f>SUM(AC34:AC36)</f>
        <v>2390.62</v>
      </c>
      <c r="AD37" s="83">
        <f>SUM(AD34:AD36)</f>
        <v>2703.12</v>
      </c>
      <c r="AE37" s="83">
        <f>SUM(AE34:AE36)</f>
        <v>2468.75</v>
      </c>
      <c r="AF37" s="83">
        <f>SUM(AF34:AF36)</f>
        <v>2030</v>
      </c>
      <c r="AG37" s="83">
        <f>SUM(AG34:AG36)</f>
        <v>0</v>
      </c>
      <c r="AH37" s="83">
        <f>SUM(AH34:AH36)</f>
        <v>42067.87</v>
      </c>
    </row>
    <row r="38" spans="1:34" ht="3.75" customHeight="1">
      <c r="A38" s="84"/>
      <c r="B38" s="84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  <c r="AA38" s="85"/>
      <c r="AB38" s="85"/>
      <c r="AC38" s="85"/>
      <c r="AD38" s="85"/>
      <c r="AE38" s="85"/>
      <c r="AF38" s="85"/>
      <c r="AG38" s="85"/>
      <c r="AH38" s="85"/>
    </row>
    <row r="39" spans="1:34" ht="15" customHeight="1">
      <c r="A39" s="268" t="s">
        <v>301</v>
      </c>
      <c r="B39" s="268"/>
      <c r="C39" s="268"/>
      <c r="D39" s="268"/>
      <c r="E39" s="268"/>
      <c r="F39" s="268"/>
      <c r="G39" s="268"/>
      <c r="H39" s="268"/>
      <c r="I39" s="268"/>
      <c r="J39" s="268"/>
      <c r="K39" s="268"/>
      <c r="L39" s="268"/>
      <c r="M39" s="268"/>
      <c r="N39" s="268"/>
      <c r="O39" s="268"/>
      <c r="P39" s="268"/>
      <c r="Q39" s="268"/>
      <c r="R39" s="268"/>
      <c r="S39" s="268"/>
      <c r="T39" s="268"/>
      <c r="U39" s="268"/>
      <c r="V39" s="268"/>
      <c r="W39" s="268"/>
      <c r="X39" s="268"/>
      <c r="Y39" s="268"/>
      <c r="Z39" s="268"/>
      <c r="AA39" s="268"/>
      <c r="AB39" s="268"/>
      <c r="AC39" s="268"/>
      <c r="AD39" s="268"/>
      <c r="AE39" s="268"/>
      <c r="AF39" s="268"/>
      <c r="AG39" s="268"/>
      <c r="AH39" s="268"/>
    </row>
    <row r="40" spans="1:34" ht="15" customHeight="1">
      <c r="A40" s="74" t="s">
        <v>302</v>
      </c>
      <c r="B40" s="75" t="s">
        <v>303</v>
      </c>
      <c r="C40" s="76">
        <f>IFERROR(INDEX(Model_Data!$A$4:$AG$34,MATCH(C$3,Model_Data!$A$4:$A$34,0),MATCH("Expense - Rent",Model_Data!$A$3:$AG$3,0)),"")</f>
        <v>0</v>
      </c>
      <c r="D40" s="76">
        <f>IFERROR(INDEX(Model_Data!$A$4:$AG$34,MATCH(D$3,Model_Data!$A$4:$A$34,0),MATCH("Expense - Rent",Model_Data!$A$3:$AG$3,0)),"")</f>
        <v>2775</v>
      </c>
      <c r="E40" s="76">
        <f>IFERROR(INDEX(Model_Data!$A$4:$AG$34,MATCH(E$3,Model_Data!$A$4:$A$34,0),MATCH("Expense - Rent",Model_Data!$A$3:$AG$3,0)),"")</f>
        <v>2800</v>
      </c>
      <c r="F40" s="76">
        <f>IFERROR(INDEX(Model_Data!$A$4:$AG$34,MATCH(F$3,Model_Data!$A$4:$A$34,0),MATCH("Expense - Rent",Model_Data!$A$3:$AG$3,0)),"")</f>
        <v>2800</v>
      </c>
      <c r="G40" s="76">
        <f>IFERROR(INDEX(Model_Data!$A$4:$AG$34,MATCH(G$3,Model_Data!$A$4:$A$34,0),MATCH("Expense - Rent",Model_Data!$A$3:$AG$3,0)),"")</f>
        <v>2800</v>
      </c>
      <c r="H40" s="76">
        <f>IFERROR(INDEX(Model_Data!$A$4:$AG$34,MATCH(H$3,Model_Data!$A$4:$A$34,0),MATCH("Expense - Rent",Model_Data!$A$3:$AG$3,0)),"")</f>
        <v>1401.38</v>
      </c>
      <c r="I40" s="76">
        <f>IFERROR(INDEX(Model_Data!$A$4:$AG$34,MATCH(I$3,Model_Data!$A$4:$A$34,0),MATCH("Expense - Rent",Model_Data!$A$3:$AG$3,0)),"")</f>
        <v>1401.38</v>
      </c>
      <c r="J40" s="76">
        <f>IFERROR(INDEX(Model_Data!$A$4:$AG$34,MATCH(J$3,Model_Data!$A$4:$A$34,0),MATCH("Expense - Rent",Model_Data!$A$3:$AG$3,0)),"")</f>
        <v>2800</v>
      </c>
      <c r="K40" s="76">
        <f>IFERROR(INDEX(Model_Data!$A$4:$AG$34,MATCH(K$3,Model_Data!$A$4:$A$34,0),MATCH("Expense - Rent",Model_Data!$A$3:$AG$3,0)),"")</f>
        <v>2800</v>
      </c>
      <c r="L40" s="76">
        <f>IFERROR(INDEX(Model_Data!$A$4:$AG$34,MATCH(L$3,Model_Data!$A$4:$A$34,0),MATCH("Expense - Rent",Model_Data!$A$3:$AG$3,0)),"")</f>
        <v>2800</v>
      </c>
      <c r="M40" s="76">
        <f>IFERROR(INDEX(Model_Data!$A$4:$AG$34,MATCH(M$3,Model_Data!$A$4:$A$34,0),MATCH("Expense - Rent",Model_Data!$A$3:$AG$3,0)),"")</f>
        <v>2800</v>
      </c>
      <c r="N40" s="76">
        <f>IFERROR(INDEX(Model_Data!$A$4:$AG$34,MATCH(N$3,Model_Data!$A$4:$A$34,0),MATCH("Expense - Rent",Model_Data!$A$3:$AG$3,0)),"")</f>
        <v>2800</v>
      </c>
      <c r="O40" s="76">
        <f>IFERROR(INDEX(Model_Data!$A$4:$AG$34,MATCH(O$3,Model_Data!$A$4:$A$34,0),MATCH("Expense - Rent",Model_Data!$A$3:$AG$3,0)),"")</f>
        <v>2802.5</v>
      </c>
      <c r="P40" s="76">
        <f>IFERROR(INDEX(Model_Data!$A$4:$AG$34,MATCH(P$3,Model_Data!$A$4:$A$34,0),MATCH("Expense - Rent",Model_Data!$A$3:$AG$3,0)),"")</f>
        <v>3856.75</v>
      </c>
      <c r="Q40" s="76">
        <f>IFERROR(INDEX(Model_Data!$A$4:$AG$34,MATCH(Q$3,Model_Data!$A$4:$A$34,0),MATCH("Expense - Rent",Model_Data!$A$3:$AG$3,0)),"")</f>
        <v>4675</v>
      </c>
      <c r="R40" s="76">
        <f>IFERROR(INDEX(Model_Data!$A$4:$AG$34,MATCH(R$3,Model_Data!$A$4:$A$34,0),MATCH("Expense - Rent",Model_Data!$A$3:$AG$3,0)),"")</f>
        <v>4675</v>
      </c>
      <c r="S40" s="76">
        <f>IFERROR(INDEX(Model_Data!$A$4:$AG$34,MATCH(S$3,Model_Data!$A$4:$A$34,0),MATCH("Expense - Rent",Model_Data!$A$3:$AG$3,0)),"")</f>
        <v>4675</v>
      </c>
      <c r="T40" s="76">
        <f>IFERROR(INDEX(Model_Data!$A$4:$AG$34,MATCH(T$3,Model_Data!$A$4:$A$34,0),MATCH("Expense - Rent",Model_Data!$A$3:$AG$3,0)),"")</f>
        <v>4675</v>
      </c>
      <c r="U40" s="76">
        <f>IFERROR(INDEX(Model_Data!$A$4:$AG$34,MATCH(U$3,Model_Data!$A$4:$A$34,0),MATCH("Expense - Rent",Model_Data!$A$3:$AG$3,0)),"")</f>
        <v>4675</v>
      </c>
      <c r="V40" s="76">
        <f>IFERROR(INDEX(Model_Data!$A$4:$AG$34,MATCH(V$3,Model_Data!$A$4:$A$34,0),MATCH("Expense - Rent",Model_Data!$A$3:$AG$3,0)),"")</f>
        <v>4675</v>
      </c>
      <c r="W40" s="76">
        <f>IFERROR(INDEX(Model_Data!$A$4:$AG$34,MATCH(W$3,Model_Data!$A$4:$A$34,0),MATCH("Expense - Rent",Model_Data!$A$3:$AG$3,0)),"")</f>
        <v>4675</v>
      </c>
      <c r="X40" s="76">
        <f>IFERROR(INDEX(Model_Data!$A$4:$AG$34,MATCH(X$3,Model_Data!$A$4:$A$34,0),MATCH("Expense - Rent",Model_Data!$A$3:$AG$3,0)),"")</f>
        <v>4675</v>
      </c>
      <c r="Y40" s="76">
        <f>IFERROR(INDEX(Model_Data!$A$4:$AG$34,MATCH(Y$3,Model_Data!$A$4:$A$34,0),MATCH("Expense - Rent",Model_Data!$A$3:$AG$3,0)),"")</f>
        <v>4675</v>
      </c>
      <c r="Z40" s="76">
        <f>IFERROR(INDEX(Model_Data!$A$4:$AG$34,MATCH(Z$3,Model_Data!$A$4:$A$34,0),MATCH("Expense - Rent",Model_Data!$A$3:$AG$3,0)),"")</f>
        <v>4687.5</v>
      </c>
      <c r="AA40" s="76">
        <f>IFERROR(INDEX(Model_Data!$A$4:$AG$34,MATCH(AA$3,Model_Data!$A$4:$A$34,0),MATCH("Expense - Rent",Model_Data!$A$3:$AG$3,0)),"")</f>
        <v>4650</v>
      </c>
      <c r="AB40" s="76">
        <f>IFERROR(INDEX(Model_Data!$A$4:$AG$34,MATCH(AB$3,Model_Data!$A$4:$A$34,0),MATCH("Expense - Rent",Model_Data!$A$3:$AG$3,0)),"")</f>
        <v>4650</v>
      </c>
      <c r="AC40" s="76">
        <f>IFERROR(INDEX(Model_Data!$A$4:$AG$34,MATCH(AC$3,Model_Data!$A$4:$A$34,0),MATCH("Expense - Rent",Model_Data!$A$3:$AG$3,0)),"")</f>
        <v>4882.5</v>
      </c>
      <c r="AD40" s="76">
        <f>IFERROR(INDEX(Model_Data!$A$4:$AG$34,MATCH(AD$3,Model_Data!$A$4:$A$34,0),MATCH("Expense - Rent",Model_Data!$A$3:$AG$3,0)),"")</f>
        <v>4882.5</v>
      </c>
      <c r="AE40" s="76">
        <f>IFERROR(INDEX(Model_Data!$A$4:$AG$34,MATCH(AE$3,Model_Data!$A$4:$A$34,0),MATCH("Expense - Rent",Model_Data!$A$3:$AG$3,0)),"")</f>
        <v>4882.5</v>
      </c>
      <c r="AF40" s="76">
        <f>IFERROR(INDEX(Model_Data!$A$4:$AG$34,MATCH(AF$3,Model_Data!$A$4:$A$34,0),MATCH("Expense - Rent",Model_Data!$A$3:$AG$3,0)),"")</f>
        <v>2441.25</v>
      </c>
      <c r="AG40" s="76">
        <f>IFERROR(INDEX(Model_Data!$A$4:$AG$34,MATCH(AG$3,Model_Data!$A$4:$A$34,0),MATCH("Expense - Rent",Model_Data!$A$3:$AG$3,0)),"")</f>
        <v>2441.25</v>
      </c>
      <c r="AH40" s="77">
        <f>SUM(C40:AG40)</f>
        <v>110229.51000000001</v>
      </c>
    </row>
    <row r="41" spans="1:34" ht="15" customHeight="1">
      <c r="A41" s="16" t="s">
        <v>304</v>
      </c>
      <c r="B41" s="78" t="s">
        <v>305</v>
      </c>
      <c r="C41" s="79">
        <f>IFERROR(INDEX(Model_Data!$A$4:$AG$34,MATCH(C$3,Model_Data!$A$4:$A$34,0),MATCH("Expense - Utilities",Model_Data!$A$3:$AG$3,0)),"")</f>
        <v>562.6</v>
      </c>
      <c r="D41" s="79">
        <f>IFERROR(INDEX(Model_Data!$A$4:$AG$34,MATCH(D$3,Model_Data!$A$4:$A$34,0),MATCH("Expense - Utilities",Model_Data!$A$3:$AG$3,0)),"")</f>
        <v>702.27</v>
      </c>
      <c r="E41" s="79">
        <f>IFERROR(INDEX(Model_Data!$A$4:$AG$34,MATCH(E$3,Model_Data!$A$4:$A$34,0),MATCH("Expense - Utilities",Model_Data!$A$3:$AG$3,0)),"")</f>
        <v>399</v>
      </c>
      <c r="F41" s="79">
        <f>IFERROR(INDEX(Model_Data!$A$4:$AG$34,MATCH(F$3,Model_Data!$A$4:$A$34,0),MATCH("Expense - Utilities",Model_Data!$A$3:$AG$3,0)),"")</f>
        <v>299.5</v>
      </c>
      <c r="G41" s="79">
        <f>IFERROR(INDEX(Model_Data!$A$4:$AG$34,MATCH(G$3,Model_Data!$A$4:$A$34,0),MATCH("Expense - Utilities",Model_Data!$A$3:$AG$3,0)),"")</f>
        <v>612</v>
      </c>
      <c r="H41" s="79">
        <f>IFERROR(INDEX(Model_Data!$A$4:$AG$34,MATCH(H$3,Model_Data!$A$4:$A$34,0),MATCH("Expense - Utilities",Model_Data!$A$3:$AG$3,0)),"")</f>
        <v>183.27</v>
      </c>
      <c r="I41" s="79">
        <f>IFERROR(INDEX(Model_Data!$A$4:$AG$34,MATCH(I$3,Model_Data!$A$4:$A$34,0),MATCH("Expense - Utilities",Model_Data!$A$3:$AG$3,0)),"")</f>
        <v>30.45</v>
      </c>
      <c r="J41" s="79">
        <f>IFERROR(INDEX(Model_Data!$A$4:$AG$34,MATCH(J$3,Model_Data!$A$4:$A$34,0),MATCH("Expense - Utilities",Model_Data!$A$3:$AG$3,0)),"")</f>
        <v>91.13</v>
      </c>
      <c r="K41" s="79">
        <f>IFERROR(INDEX(Model_Data!$A$4:$AG$34,MATCH(K$3,Model_Data!$A$4:$A$34,0),MATCH("Expense - Utilities",Model_Data!$A$3:$AG$3,0)),"")</f>
        <v>103</v>
      </c>
      <c r="L41" s="79">
        <f>IFERROR(INDEX(Model_Data!$A$4:$AG$34,MATCH(L$3,Model_Data!$A$4:$A$34,0),MATCH("Expense - Utilities",Model_Data!$A$3:$AG$3,0)),"")</f>
        <v>76.88</v>
      </c>
      <c r="M41" s="79">
        <f>IFERROR(INDEX(Model_Data!$A$4:$AG$34,MATCH(M$3,Model_Data!$A$4:$A$34,0),MATCH("Expense - Utilities",Model_Data!$A$3:$AG$3,0)),"")</f>
        <v>95.19</v>
      </c>
      <c r="N41" s="79">
        <f>IFERROR(INDEX(Model_Data!$A$4:$AG$34,MATCH(N$3,Model_Data!$A$4:$A$34,0),MATCH("Expense - Utilities",Model_Data!$A$3:$AG$3,0)),"")</f>
        <v>268.75</v>
      </c>
      <c r="O41" s="79">
        <f>IFERROR(INDEX(Model_Data!$A$4:$AG$34,MATCH(O$3,Model_Data!$A$4:$A$34,0),MATCH("Expense - Utilities",Model_Data!$A$3:$AG$3,0)),"")</f>
        <v>295.57</v>
      </c>
      <c r="P41" s="79">
        <f>IFERROR(INDEX(Model_Data!$A$4:$AG$34,MATCH(P$3,Model_Data!$A$4:$A$34,0),MATCH("Expense - Utilities",Model_Data!$A$3:$AG$3,0)),"")</f>
        <v>354.53</v>
      </c>
      <c r="Q41" s="79">
        <f>IFERROR(INDEX(Model_Data!$A$4:$AG$34,MATCH(Q$3,Model_Data!$A$4:$A$34,0),MATCH("Expense - Utilities",Model_Data!$A$3:$AG$3,0)),"")</f>
        <v>666.25</v>
      </c>
      <c r="R41" s="79">
        <f>IFERROR(INDEX(Model_Data!$A$4:$AG$34,MATCH(R$3,Model_Data!$A$4:$A$34,0),MATCH("Expense - Utilities",Model_Data!$A$3:$AG$3,0)),"")</f>
        <v>672.5</v>
      </c>
      <c r="S41" s="79">
        <f>IFERROR(INDEX(Model_Data!$A$4:$AG$34,MATCH(S$3,Model_Data!$A$4:$A$34,0),MATCH("Expense - Utilities",Model_Data!$A$3:$AG$3,0)),"")</f>
        <v>452</v>
      </c>
      <c r="T41" s="79">
        <f>IFERROR(INDEX(Model_Data!$A$4:$AG$34,MATCH(T$3,Model_Data!$A$4:$A$34,0),MATCH("Expense - Utilities",Model_Data!$A$3:$AG$3,0)),"")</f>
        <v>432.85</v>
      </c>
      <c r="U41" s="79">
        <f>IFERROR(INDEX(Model_Data!$A$4:$AG$34,MATCH(U$3,Model_Data!$A$4:$A$34,0),MATCH("Expense - Utilities",Model_Data!$A$3:$AG$3,0)),"")</f>
        <v>429.25</v>
      </c>
      <c r="V41" s="79">
        <f>IFERROR(INDEX(Model_Data!$A$4:$AG$34,MATCH(V$3,Model_Data!$A$4:$A$34,0),MATCH("Expense - Utilities",Model_Data!$A$3:$AG$3,0)),"")</f>
        <v>854.62</v>
      </c>
      <c r="W41" s="79">
        <f>IFERROR(INDEX(Model_Data!$A$4:$AG$34,MATCH(W$3,Model_Data!$A$4:$A$34,0),MATCH("Expense - Utilities",Model_Data!$A$3:$AG$3,0)),"")</f>
        <v>329.72</v>
      </c>
      <c r="X41" s="79">
        <f>IFERROR(INDEX(Model_Data!$A$4:$AG$34,MATCH(X$3,Model_Data!$A$4:$A$34,0),MATCH("Expense - Utilities",Model_Data!$A$3:$AG$3,0)),"")</f>
        <v>314.85000000000002</v>
      </c>
      <c r="Y41" s="79">
        <f>IFERROR(INDEX(Model_Data!$A$4:$AG$34,MATCH(Y$3,Model_Data!$A$4:$A$34,0),MATCH("Expense - Utilities",Model_Data!$A$3:$AG$3,0)),"")</f>
        <v>400</v>
      </c>
      <c r="Z41" s="79">
        <f>IFERROR(INDEX(Model_Data!$A$4:$AG$34,MATCH(Z$3,Model_Data!$A$4:$A$34,0),MATCH("Expense - Utilities",Model_Data!$A$3:$AG$3,0)),"")</f>
        <v>635.12</v>
      </c>
      <c r="AA41" s="79">
        <f>IFERROR(INDEX(Model_Data!$A$4:$AG$34,MATCH(AA$3,Model_Data!$A$4:$A$34,0),MATCH("Expense - Utilities",Model_Data!$A$3:$AG$3,0)),"")</f>
        <v>588.12</v>
      </c>
      <c r="AB41" s="79">
        <f>IFERROR(INDEX(Model_Data!$A$4:$AG$34,MATCH(AB$3,Model_Data!$A$4:$A$34,0),MATCH("Expense - Utilities",Model_Data!$A$3:$AG$3,0)),"")</f>
        <v>905.57</v>
      </c>
      <c r="AC41" s="79">
        <f>IFERROR(INDEX(Model_Data!$A$4:$AG$34,MATCH(AC$3,Model_Data!$A$4:$A$34,0),MATCH("Expense - Utilities",Model_Data!$A$3:$AG$3,0)),"")</f>
        <v>738.81</v>
      </c>
      <c r="AD41" s="79">
        <f>IFERROR(INDEX(Model_Data!$A$4:$AG$34,MATCH(AD$3,Model_Data!$A$4:$A$34,0),MATCH("Expense - Utilities",Model_Data!$A$3:$AG$3,0)),"")</f>
        <v>744.62</v>
      </c>
      <c r="AE41" s="79">
        <f>IFERROR(INDEX(Model_Data!$A$4:$AG$34,MATCH(AE$3,Model_Data!$A$4:$A$34,0),MATCH("Expense - Utilities",Model_Data!$A$3:$AG$3,0)),"")</f>
        <v>482.52</v>
      </c>
      <c r="AF41" s="79">
        <f>IFERROR(INDEX(Model_Data!$A$4:$AG$34,MATCH(AF$3,Model_Data!$A$4:$A$34,0),MATCH("Expense - Utilities",Model_Data!$A$3:$AG$3,0)),"")</f>
        <v>335.8</v>
      </c>
      <c r="AG41" s="79">
        <f>IFERROR(INDEX(Model_Data!$A$4:$AG$34,MATCH(AG$3,Model_Data!$A$4:$A$34,0),MATCH("Expense - Utilities",Model_Data!$A$3:$AG$3,0)),"")</f>
        <v>379.37</v>
      </c>
      <c r="AH41" s="80">
        <f>SUM(C41:AG41)</f>
        <v>13436.110000000002</v>
      </c>
    </row>
    <row r="42" spans="1:34" ht="15" customHeight="1">
      <c r="A42" s="74" t="s">
        <v>306</v>
      </c>
      <c r="B42" s="75" t="s">
        <v>307</v>
      </c>
      <c r="C42" s="76">
        <f>IFERROR(INDEX(Model_Data!$A$4:$AG$34,MATCH(C$3,Model_Data!$A$4:$A$34,0),MATCH("Expense - Advertising",Model_Data!$A$3:$AG$3,0)),"")</f>
        <v>0</v>
      </c>
      <c r="D42" s="76">
        <f>IFERROR(INDEX(Model_Data!$A$4:$AG$34,MATCH(D$3,Model_Data!$A$4:$A$34,0),MATCH("Expense - Advertising",Model_Data!$A$3:$AG$3,0)),"")</f>
        <v>50</v>
      </c>
      <c r="E42" s="76">
        <f>IFERROR(INDEX(Model_Data!$A$4:$AG$34,MATCH(E$3,Model_Data!$A$4:$A$34,0),MATCH("Expense - Advertising",Model_Data!$A$3:$AG$3,0)),"")</f>
        <v>75</v>
      </c>
      <c r="F42" s="76">
        <f>IFERROR(INDEX(Model_Data!$A$4:$AG$34,MATCH(F$3,Model_Data!$A$4:$A$34,0),MATCH("Expense - Advertising",Model_Data!$A$3:$AG$3,0)),"")</f>
        <v>112.5</v>
      </c>
      <c r="G42" s="76">
        <f>IFERROR(INDEX(Model_Data!$A$4:$AG$34,MATCH(G$3,Model_Data!$A$4:$A$34,0),MATCH("Expense - Advertising",Model_Data!$A$3:$AG$3,0)),"")</f>
        <v>125</v>
      </c>
      <c r="H42" s="76">
        <f>IFERROR(INDEX(Model_Data!$A$4:$AG$34,MATCH(H$3,Model_Data!$A$4:$A$34,0),MATCH("Expense - Advertising",Model_Data!$A$3:$AG$3,0)),"")</f>
        <v>150</v>
      </c>
      <c r="I42" s="76">
        <f>IFERROR(INDEX(Model_Data!$A$4:$AG$34,MATCH(I$3,Model_Data!$A$4:$A$34,0),MATCH("Expense - Advertising",Model_Data!$A$3:$AG$3,0)),"")</f>
        <v>125</v>
      </c>
      <c r="J42" s="76">
        <f>IFERROR(INDEX(Model_Data!$A$4:$AG$34,MATCH(J$3,Model_Data!$A$4:$A$34,0),MATCH("Expense - Advertising",Model_Data!$A$3:$AG$3,0)),"")</f>
        <v>168.75</v>
      </c>
      <c r="K42" s="76">
        <f>IFERROR(INDEX(Model_Data!$A$4:$AG$34,MATCH(K$3,Model_Data!$A$4:$A$34,0),MATCH("Expense - Advertising",Model_Data!$A$3:$AG$3,0)),"")</f>
        <v>467.5</v>
      </c>
      <c r="L42" s="76">
        <f>IFERROR(INDEX(Model_Data!$A$4:$AG$34,MATCH(L$3,Model_Data!$A$4:$A$34,0),MATCH("Expense - Advertising",Model_Data!$A$3:$AG$3,0)),"")</f>
        <v>320.75</v>
      </c>
      <c r="M42" s="76">
        <f>IFERROR(INDEX(Model_Data!$A$4:$AG$34,MATCH(M$3,Model_Data!$A$4:$A$34,0),MATCH("Expense - Advertising",Model_Data!$A$3:$AG$3,0)),"")</f>
        <v>660.76</v>
      </c>
      <c r="N42" s="76">
        <f>IFERROR(INDEX(Model_Data!$A$4:$AG$34,MATCH(N$3,Model_Data!$A$4:$A$34,0),MATCH("Expense - Advertising",Model_Data!$A$3:$AG$3,0)),"")</f>
        <v>114.75</v>
      </c>
      <c r="O42" s="76">
        <f>IFERROR(INDEX(Model_Data!$A$4:$AG$34,MATCH(O$3,Model_Data!$A$4:$A$34,0),MATCH("Expense - Advertising",Model_Data!$A$3:$AG$3,0)),"")</f>
        <v>197.5</v>
      </c>
      <c r="P42" s="76">
        <f>IFERROR(INDEX(Model_Data!$A$4:$AG$34,MATCH(P$3,Model_Data!$A$4:$A$34,0),MATCH("Expense - Advertising",Model_Data!$A$3:$AG$3,0)),"")</f>
        <v>91.75</v>
      </c>
      <c r="Q42" s="76">
        <f>IFERROR(INDEX(Model_Data!$A$4:$AG$34,MATCH(Q$3,Model_Data!$A$4:$A$34,0),MATCH("Expense - Advertising",Model_Data!$A$3:$AG$3,0)),"")</f>
        <v>350</v>
      </c>
      <c r="R42" s="76">
        <f>IFERROR(INDEX(Model_Data!$A$4:$AG$34,MATCH(R$3,Model_Data!$A$4:$A$34,0),MATCH("Expense - Advertising",Model_Data!$A$3:$AG$3,0)),"")</f>
        <v>324.88</v>
      </c>
      <c r="S42" s="76">
        <f>IFERROR(INDEX(Model_Data!$A$4:$AG$34,MATCH(S$3,Model_Data!$A$4:$A$34,0),MATCH("Expense - Advertising",Model_Data!$A$3:$AG$3,0)),"")</f>
        <v>392.38</v>
      </c>
      <c r="T42" s="76">
        <f>IFERROR(INDEX(Model_Data!$A$4:$AG$34,MATCH(T$3,Model_Data!$A$4:$A$34,0),MATCH("Expense - Advertising",Model_Data!$A$3:$AG$3,0)),"")</f>
        <v>108.59</v>
      </c>
      <c r="U42" s="76">
        <f>IFERROR(INDEX(Model_Data!$A$4:$AG$34,MATCH(U$3,Model_Data!$A$4:$A$34,0),MATCH("Expense - Advertising",Model_Data!$A$3:$AG$3,0)),"")</f>
        <v>291.88</v>
      </c>
      <c r="V42" s="76">
        <f>IFERROR(INDEX(Model_Data!$A$4:$AG$34,MATCH(V$3,Model_Data!$A$4:$A$34,0),MATCH("Expense - Advertising",Model_Data!$A$3:$AG$3,0)),"")</f>
        <v>375</v>
      </c>
      <c r="W42" s="76">
        <f>IFERROR(INDEX(Model_Data!$A$4:$AG$34,MATCH(W$3,Model_Data!$A$4:$A$34,0),MATCH("Expense - Advertising",Model_Data!$A$3:$AG$3,0)),"")</f>
        <v>200.62</v>
      </c>
      <c r="X42" s="76">
        <f>IFERROR(INDEX(Model_Data!$A$4:$AG$34,MATCH(X$3,Model_Data!$A$4:$A$34,0),MATCH("Expense - Advertising",Model_Data!$A$3:$AG$3,0)),"")</f>
        <v>430.65</v>
      </c>
      <c r="Y42" s="76">
        <f>IFERROR(INDEX(Model_Data!$A$4:$AG$34,MATCH(Y$3,Model_Data!$A$4:$A$34,0),MATCH("Expense - Advertising",Model_Data!$A$3:$AG$3,0)),"")</f>
        <v>137.5</v>
      </c>
      <c r="Z42" s="76">
        <f>IFERROR(INDEX(Model_Data!$A$4:$AG$34,MATCH(Z$3,Model_Data!$A$4:$A$34,0),MATCH("Expense - Advertising",Model_Data!$A$3:$AG$3,0)),"")</f>
        <v>210</v>
      </c>
      <c r="AA42" s="76">
        <f>IFERROR(INDEX(Model_Data!$A$4:$AG$34,MATCH(AA$3,Model_Data!$A$4:$A$34,0),MATCH("Expense - Advertising",Model_Data!$A$3:$AG$3,0)),"")</f>
        <v>273.75</v>
      </c>
      <c r="AB42" s="76">
        <f>IFERROR(INDEX(Model_Data!$A$4:$AG$34,MATCH(AB$3,Model_Data!$A$4:$A$34,0),MATCH("Expense - Advertising",Model_Data!$A$3:$AG$3,0)),"")</f>
        <v>42</v>
      </c>
      <c r="AC42" s="76">
        <f>IFERROR(INDEX(Model_Data!$A$4:$AG$34,MATCH(AC$3,Model_Data!$A$4:$A$34,0),MATCH("Expense - Advertising",Model_Data!$A$3:$AG$3,0)),"")</f>
        <v>0</v>
      </c>
      <c r="AD42" s="76">
        <f>IFERROR(INDEX(Model_Data!$A$4:$AG$34,MATCH(AD$3,Model_Data!$A$4:$A$34,0),MATCH("Expense - Advertising",Model_Data!$A$3:$AG$3,0)),"")</f>
        <v>625</v>
      </c>
      <c r="AE42" s="76">
        <f>IFERROR(INDEX(Model_Data!$A$4:$AG$34,MATCH(AE$3,Model_Data!$A$4:$A$34,0),MATCH("Expense - Advertising",Model_Data!$A$3:$AG$3,0)),"")</f>
        <v>62.5</v>
      </c>
      <c r="AF42" s="76">
        <f>IFERROR(INDEX(Model_Data!$A$4:$AG$34,MATCH(AF$3,Model_Data!$A$4:$A$34,0),MATCH("Expense - Advertising",Model_Data!$A$3:$AG$3,0)),"")</f>
        <v>0</v>
      </c>
      <c r="AG42" s="76">
        <f>IFERROR(INDEX(Model_Data!$A$4:$AG$34,MATCH(AG$3,Model_Data!$A$4:$A$34,0),MATCH("Expense - Advertising",Model_Data!$A$3:$AG$3,0)),"")</f>
        <v>0</v>
      </c>
      <c r="AH42" s="77">
        <f>SUM(C42:AG42)</f>
        <v>6484.01</v>
      </c>
    </row>
    <row r="43" spans="1:34" ht="15" customHeight="1">
      <c r="A43" s="16" t="s">
        <v>308</v>
      </c>
      <c r="B43" s="78" t="s">
        <v>309</v>
      </c>
      <c r="C43" s="79">
        <f>IFERROR(INDEX(Model_Data!$A$4:$AG$34,MATCH(C$3,Model_Data!$A$4:$A$34,0),MATCH("Expense - Taxes",Model_Data!$A$3:$AG$3,0)),"")</f>
        <v>0</v>
      </c>
      <c r="D43" s="79">
        <f>IFERROR(INDEX(Model_Data!$A$4:$AG$34,MATCH(D$3,Model_Data!$A$4:$A$34,0),MATCH("Expense - Taxes",Model_Data!$A$3:$AG$3,0)),"")</f>
        <v>0</v>
      </c>
      <c r="E43" s="79">
        <f>IFERROR(INDEX(Model_Data!$A$4:$AG$34,MATCH(E$3,Model_Data!$A$4:$A$34,0),MATCH("Expense - Taxes",Model_Data!$A$3:$AG$3,0)),"")</f>
        <v>0</v>
      </c>
      <c r="F43" s="79">
        <f>IFERROR(INDEX(Model_Data!$A$4:$AG$34,MATCH(F$3,Model_Data!$A$4:$A$34,0),MATCH("Expense - Taxes",Model_Data!$A$3:$AG$3,0)),"")</f>
        <v>0</v>
      </c>
      <c r="G43" s="79">
        <f>IFERROR(INDEX(Model_Data!$A$4:$AG$34,MATCH(G$3,Model_Data!$A$4:$A$34,0),MATCH("Expense - Taxes",Model_Data!$A$3:$AG$3,0)),"")</f>
        <v>57.75</v>
      </c>
      <c r="H43" s="79">
        <f>IFERROR(INDEX(Model_Data!$A$4:$AG$34,MATCH(H$3,Model_Data!$A$4:$A$34,0),MATCH("Expense - Taxes",Model_Data!$A$3:$AG$3,0)),"")</f>
        <v>22.5</v>
      </c>
      <c r="I43" s="79">
        <f>IFERROR(INDEX(Model_Data!$A$4:$AG$34,MATCH(I$3,Model_Data!$A$4:$A$34,0),MATCH("Expense - Taxes",Model_Data!$A$3:$AG$3,0)),"")</f>
        <v>0</v>
      </c>
      <c r="J43" s="79">
        <f>IFERROR(INDEX(Model_Data!$A$4:$AG$34,MATCH(J$3,Model_Data!$A$4:$A$34,0),MATCH("Expense - Taxes",Model_Data!$A$3:$AG$3,0)),"")</f>
        <v>0</v>
      </c>
      <c r="K43" s="79">
        <f>IFERROR(INDEX(Model_Data!$A$4:$AG$34,MATCH(K$3,Model_Data!$A$4:$A$34,0),MATCH("Expense - Taxes",Model_Data!$A$3:$AG$3,0)),"")</f>
        <v>0</v>
      </c>
      <c r="L43" s="79">
        <f>IFERROR(INDEX(Model_Data!$A$4:$AG$34,MATCH(L$3,Model_Data!$A$4:$A$34,0),MATCH("Expense - Taxes",Model_Data!$A$3:$AG$3,0)),"")</f>
        <v>0</v>
      </c>
      <c r="M43" s="79">
        <f>IFERROR(INDEX(Model_Data!$A$4:$AG$34,MATCH(M$3,Model_Data!$A$4:$A$34,0),MATCH("Expense - Taxes",Model_Data!$A$3:$AG$3,0)),"")</f>
        <v>0</v>
      </c>
      <c r="N43" s="79">
        <f>IFERROR(INDEX(Model_Data!$A$4:$AG$34,MATCH(N$3,Model_Data!$A$4:$A$34,0),MATCH("Expense - Taxes",Model_Data!$A$3:$AG$3,0)),"")</f>
        <v>124.5</v>
      </c>
      <c r="O43" s="79">
        <f>IFERROR(INDEX(Model_Data!$A$4:$AG$34,MATCH(O$3,Model_Data!$A$4:$A$34,0),MATCH("Expense - Taxes",Model_Data!$A$3:$AG$3,0)),"")</f>
        <v>87.5</v>
      </c>
      <c r="P43" s="79">
        <f>IFERROR(INDEX(Model_Data!$A$4:$AG$34,MATCH(P$3,Model_Data!$A$4:$A$34,0),MATCH("Expense - Taxes",Model_Data!$A$3:$AG$3,0)),"")</f>
        <v>75.75</v>
      </c>
      <c r="Q43" s="79">
        <f>IFERROR(INDEX(Model_Data!$A$4:$AG$34,MATCH(Q$3,Model_Data!$A$4:$A$34,0),MATCH("Expense - Taxes",Model_Data!$A$3:$AG$3,0)),"")</f>
        <v>67.12</v>
      </c>
      <c r="R43" s="79">
        <f>IFERROR(INDEX(Model_Data!$A$4:$AG$34,MATCH(R$3,Model_Data!$A$4:$A$34,0),MATCH("Expense - Taxes",Model_Data!$A$3:$AG$3,0)),"")</f>
        <v>0</v>
      </c>
      <c r="S43" s="79">
        <f>IFERROR(INDEX(Model_Data!$A$4:$AG$34,MATCH(S$3,Model_Data!$A$4:$A$34,0),MATCH("Expense - Taxes",Model_Data!$A$3:$AG$3,0)),"")</f>
        <v>127.12</v>
      </c>
      <c r="T43" s="79">
        <f>IFERROR(INDEX(Model_Data!$A$4:$AG$34,MATCH(T$3,Model_Data!$A$4:$A$34,0),MATCH("Expense - Taxes",Model_Data!$A$3:$AG$3,0)),"")</f>
        <v>128.25</v>
      </c>
      <c r="U43" s="79">
        <f>IFERROR(INDEX(Model_Data!$A$4:$AG$34,MATCH(U$3,Model_Data!$A$4:$A$34,0),MATCH("Expense - Taxes",Model_Data!$A$3:$AG$3,0)),"")</f>
        <v>103.88</v>
      </c>
      <c r="V43" s="79">
        <f>IFERROR(INDEX(Model_Data!$A$4:$AG$34,MATCH(V$3,Model_Data!$A$4:$A$34,0),MATCH("Expense - Taxes",Model_Data!$A$3:$AG$3,0)),"")</f>
        <v>69</v>
      </c>
      <c r="W43" s="79">
        <f>IFERROR(INDEX(Model_Data!$A$4:$AG$34,MATCH(W$3,Model_Data!$A$4:$A$34,0),MATCH("Expense - Taxes",Model_Data!$A$3:$AG$3,0)),"")</f>
        <v>94.12</v>
      </c>
      <c r="X43" s="79">
        <f>IFERROR(INDEX(Model_Data!$A$4:$AG$34,MATCH(X$3,Model_Data!$A$4:$A$34,0),MATCH("Expense - Taxes",Model_Data!$A$3:$AG$3,0)),"")</f>
        <v>132.12</v>
      </c>
      <c r="Y43" s="79">
        <f>IFERROR(INDEX(Model_Data!$A$4:$AG$34,MATCH(Y$3,Model_Data!$A$4:$A$34,0),MATCH("Expense - Taxes",Model_Data!$A$3:$AG$3,0)),"")</f>
        <v>98.38</v>
      </c>
      <c r="Z43" s="79">
        <f>IFERROR(INDEX(Model_Data!$A$4:$AG$34,MATCH(Z$3,Model_Data!$A$4:$A$34,0),MATCH("Expense - Taxes",Model_Data!$A$3:$AG$3,0)),"")</f>
        <v>149.62</v>
      </c>
      <c r="AA43" s="79">
        <f>IFERROR(INDEX(Model_Data!$A$4:$AG$34,MATCH(AA$3,Model_Data!$A$4:$A$34,0),MATCH("Expense - Taxes",Model_Data!$A$3:$AG$3,0)),"")</f>
        <v>151.75</v>
      </c>
      <c r="AB43" s="79">
        <f>IFERROR(INDEX(Model_Data!$A$4:$AG$34,MATCH(AB$3,Model_Data!$A$4:$A$34,0),MATCH("Expense - Taxes",Model_Data!$A$3:$AG$3,0)),"")</f>
        <v>134.62</v>
      </c>
      <c r="AC43" s="79">
        <f>IFERROR(INDEX(Model_Data!$A$4:$AG$34,MATCH(AC$3,Model_Data!$A$4:$A$34,0),MATCH("Expense - Taxes",Model_Data!$A$3:$AG$3,0)),"")</f>
        <v>103.38</v>
      </c>
      <c r="AD43" s="79">
        <f>IFERROR(INDEX(Model_Data!$A$4:$AG$34,MATCH(AD$3,Model_Data!$A$4:$A$34,0),MATCH("Expense - Taxes",Model_Data!$A$3:$AG$3,0)),"")</f>
        <v>165.75</v>
      </c>
      <c r="AE43" s="79">
        <f>IFERROR(INDEX(Model_Data!$A$4:$AG$34,MATCH(AE$3,Model_Data!$A$4:$A$34,0),MATCH("Expense - Taxes",Model_Data!$A$3:$AG$3,0)),"")</f>
        <v>128.06</v>
      </c>
      <c r="AF43" s="79">
        <f>IFERROR(INDEX(Model_Data!$A$4:$AG$34,MATCH(AF$3,Model_Data!$A$4:$A$34,0),MATCH("Expense - Taxes",Model_Data!$A$3:$AG$3,0)),"")</f>
        <v>139.5</v>
      </c>
      <c r="AG43" s="79">
        <f>IFERROR(INDEX(Model_Data!$A$4:$AG$34,MATCH(AG$3,Model_Data!$A$4:$A$34,0),MATCH("Expense - Taxes",Model_Data!$A$3:$AG$3,0)),"")</f>
        <v>85.28</v>
      </c>
      <c r="AH43" s="80">
        <f>SUM(C43:AG43)</f>
        <v>2245.9500000000003</v>
      </c>
    </row>
    <row r="44" spans="1:34" ht="15" customHeight="1">
      <c r="A44" s="74" t="s">
        <v>310</v>
      </c>
      <c r="B44" s="75" t="s">
        <v>311</v>
      </c>
      <c r="C44" s="76">
        <f>IFERROR(INDEX(Model_Data!$A$4:$AG$34,MATCH(C$3,Model_Data!$A$4:$A$34,0),MATCH("Equipment / Supplies Purchase",Model_Data!$A$3:$AG$3,0)),"")</f>
        <v>0</v>
      </c>
      <c r="D44" s="76">
        <f>IFERROR(INDEX(Model_Data!$A$4:$AG$34,MATCH(D$3,Model_Data!$A$4:$A$34,0),MATCH("Equipment / Supplies Purchase",Model_Data!$A$3:$AG$3,0)),"")</f>
        <v>200</v>
      </c>
      <c r="E44" s="76">
        <f>IFERROR(INDEX(Model_Data!$A$4:$AG$34,MATCH(E$3,Model_Data!$A$4:$A$34,0),MATCH("Equipment / Supplies Purchase",Model_Data!$A$3:$AG$3,0)),"")</f>
        <v>0</v>
      </c>
      <c r="F44" s="76">
        <f>IFERROR(INDEX(Model_Data!$A$4:$AG$34,MATCH(F$3,Model_Data!$A$4:$A$34,0),MATCH("Equipment / Supplies Purchase",Model_Data!$A$3:$AG$3,0)),"")</f>
        <v>0</v>
      </c>
      <c r="G44" s="76">
        <f>IFERROR(INDEX(Model_Data!$A$4:$AG$34,MATCH(G$3,Model_Data!$A$4:$A$34,0),MATCH("Equipment / Supplies Purchase",Model_Data!$A$3:$AG$3,0)),"")</f>
        <v>974.25</v>
      </c>
      <c r="H44" s="76">
        <f>IFERROR(INDEX(Model_Data!$A$4:$AG$34,MATCH(H$3,Model_Data!$A$4:$A$34,0),MATCH("Equipment / Supplies Purchase",Model_Data!$A$3:$AG$3,0)),"")</f>
        <v>686.87</v>
      </c>
      <c r="I44" s="76">
        <f>IFERROR(INDEX(Model_Data!$A$4:$AG$34,MATCH(I$3,Model_Data!$A$4:$A$34,0),MATCH("Equipment / Supplies Purchase",Model_Data!$A$3:$AG$3,0)),"")</f>
        <v>0</v>
      </c>
      <c r="J44" s="76">
        <f>IFERROR(INDEX(Model_Data!$A$4:$AG$34,MATCH(J$3,Model_Data!$A$4:$A$34,0),MATCH("Equipment / Supplies Purchase",Model_Data!$A$3:$AG$3,0)),"")</f>
        <v>0</v>
      </c>
      <c r="K44" s="76">
        <f>IFERROR(INDEX(Model_Data!$A$4:$AG$34,MATCH(K$3,Model_Data!$A$4:$A$34,0),MATCH("Equipment / Supplies Purchase",Model_Data!$A$3:$AG$3,0)),"")</f>
        <v>1909.99</v>
      </c>
      <c r="L44" s="76">
        <f>IFERROR(INDEX(Model_Data!$A$4:$AG$34,MATCH(L$3,Model_Data!$A$4:$A$34,0),MATCH("Equipment / Supplies Purchase",Model_Data!$A$3:$AG$3,0)),"")</f>
        <v>0</v>
      </c>
      <c r="M44" s="76">
        <f>IFERROR(INDEX(Model_Data!$A$4:$AG$34,MATCH(M$3,Model_Data!$A$4:$A$34,0),MATCH("Equipment / Supplies Purchase",Model_Data!$A$3:$AG$3,0)),"")</f>
        <v>300</v>
      </c>
      <c r="N44" s="76">
        <f>IFERROR(INDEX(Model_Data!$A$4:$AG$34,MATCH(N$3,Model_Data!$A$4:$A$34,0),MATCH("Equipment / Supplies Purchase",Model_Data!$A$3:$AG$3,0)),"")</f>
        <v>187.5</v>
      </c>
      <c r="O44" s="76">
        <f>IFERROR(INDEX(Model_Data!$A$4:$AG$34,MATCH(O$3,Model_Data!$A$4:$A$34,0),MATCH("Equipment / Supplies Purchase",Model_Data!$A$3:$AG$3,0)),"")</f>
        <v>0</v>
      </c>
      <c r="P44" s="76">
        <f>IFERROR(INDEX(Model_Data!$A$4:$AG$34,MATCH(P$3,Model_Data!$A$4:$A$34,0),MATCH("Equipment / Supplies Purchase",Model_Data!$A$3:$AG$3,0)),"")</f>
        <v>170.62</v>
      </c>
      <c r="Q44" s="76">
        <f>IFERROR(INDEX(Model_Data!$A$4:$AG$34,MATCH(Q$3,Model_Data!$A$4:$A$34,0),MATCH("Equipment / Supplies Purchase",Model_Data!$A$3:$AG$3,0)),"")</f>
        <v>500</v>
      </c>
      <c r="R44" s="76">
        <f>IFERROR(INDEX(Model_Data!$A$4:$AG$34,MATCH(R$3,Model_Data!$A$4:$A$34,0),MATCH("Equipment / Supplies Purchase",Model_Data!$A$3:$AG$3,0)),"")</f>
        <v>137.5</v>
      </c>
      <c r="S44" s="76">
        <f>IFERROR(INDEX(Model_Data!$A$4:$AG$34,MATCH(S$3,Model_Data!$A$4:$A$34,0),MATCH("Equipment / Supplies Purchase",Model_Data!$A$3:$AG$3,0)),"")</f>
        <v>0</v>
      </c>
      <c r="T44" s="76">
        <f>IFERROR(INDEX(Model_Data!$A$4:$AG$34,MATCH(T$3,Model_Data!$A$4:$A$34,0),MATCH("Equipment / Supplies Purchase",Model_Data!$A$3:$AG$3,0)),"")</f>
        <v>0</v>
      </c>
      <c r="U44" s="76">
        <f>IFERROR(INDEX(Model_Data!$A$4:$AG$34,MATCH(U$3,Model_Data!$A$4:$A$34,0),MATCH("Equipment / Supplies Purchase",Model_Data!$A$3:$AG$3,0)),"")</f>
        <v>0</v>
      </c>
      <c r="V44" s="76">
        <f>IFERROR(INDEX(Model_Data!$A$4:$AG$34,MATCH(V$3,Model_Data!$A$4:$A$34,0),MATCH("Equipment / Supplies Purchase",Model_Data!$A$3:$AG$3,0)),"")</f>
        <v>0</v>
      </c>
      <c r="W44" s="76">
        <f>IFERROR(INDEX(Model_Data!$A$4:$AG$34,MATCH(W$3,Model_Data!$A$4:$A$34,0),MATCH("Equipment / Supplies Purchase",Model_Data!$A$3:$AG$3,0)),"")</f>
        <v>0</v>
      </c>
      <c r="X44" s="76">
        <f>IFERROR(INDEX(Model_Data!$A$4:$AG$34,MATCH(X$3,Model_Data!$A$4:$A$34,0),MATCH("Equipment / Supplies Purchase",Model_Data!$A$3:$AG$3,0)),"")</f>
        <v>62.5</v>
      </c>
      <c r="Y44" s="76">
        <f>IFERROR(INDEX(Model_Data!$A$4:$AG$34,MATCH(Y$3,Model_Data!$A$4:$A$34,0),MATCH("Equipment / Supplies Purchase",Model_Data!$A$3:$AG$3,0)),"")</f>
        <v>0</v>
      </c>
      <c r="Z44" s="76">
        <f>IFERROR(INDEX(Model_Data!$A$4:$AG$34,MATCH(Z$3,Model_Data!$A$4:$A$34,0),MATCH("Equipment / Supplies Purchase",Model_Data!$A$3:$AG$3,0)),"")</f>
        <v>47.12</v>
      </c>
      <c r="AA44" s="76">
        <f>IFERROR(INDEX(Model_Data!$A$4:$AG$34,MATCH(AA$3,Model_Data!$A$4:$A$34,0),MATCH("Equipment / Supplies Purchase",Model_Data!$A$3:$AG$3,0)),"")</f>
        <v>0</v>
      </c>
      <c r="AB44" s="76">
        <f>IFERROR(INDEX(Model_Data!$A$4:$AG$34,MATCH(AB$3,Model_Data!$A$4:$A$34,0),MATCH("Equipment / Supplies Purchase",Model_Data!$A$3:$AG$3,0)),"")</f>
        <v>31.88</v>
      </c>
      <c r="AC44" s="76">
        <f>IFERROR(INDEX(Model_Data!$A$4:$AG$34,MATCH(AC$3,Model_Data!$A$4:$A$34,0),MATCH("Equipment / Supplies Purchase",Model_Data!$A$3:$AG$3,0)),"")</f>
        <v>0</v>
      </c>
      <c r="AD44" s="76">
        <f>IFERROR(INDEX(Model_Data!$A$4:$AG$34,MATCH(AD$3,Model_Data!$A$4:$A$34,0),MATCH("Equipment / Supplies Purchase",Model_Data!$A$3:$AG$3,0)),"")</f>
        <v>0</v>
      </c>
      <c r="AE44" s="76">
        <f>IFERROR(INDEX(Model_Data!$A$4:$AG$34,MATCH(AE$3,Model_Data!$A$4:$A$34,0),MATCH("Equipment / Supplies Purchase",Model_Data!$A$3:$AG$3,0)),"")</f>
        <v>0</v>
      </c>
      <c r="AF44" s="76">
        <f>IFERROR(INDEX(Model_Data!$A$4:$AG$34,MATCH(AF$3,Model_Data!$A$4:$A$34,0),MATCH("Equipment / Supplies Purchase",Model_Data!$A$3:$AG$3,0)),"")</f>
        <v>0</v>
      </c>
      <c r="AG44" s="76">
        <f>IFERROR(INDEX(Model_Data!$A$4:$AG$34,MATCH(AG$3,Model_Data!$A$4:$A$34,0),MATCH("Equipment / Supplies Purchase",Model_Data!$A$3:$AG$3,0)),"")</f>
        <v>0</v>
      </c>
      <c r="AH44" s="77">
        <f>SUM(C44:AG44)</f>
        <v>5208.2299999999996</v>
      </c>
    </row>
    <row r="45" spans="1:34" ht="15" customHeight="1">
      <c r="A45" s="16" t="s">
        <v>312</v>
      </c>
      <c r="B45" s="78" t="s">
        <v>313</v>
      </c>
      <c r="C45" s="79">
        <f>IFERROR(INDEX(Model_Data!$A$4:$AG$34,MATCH(C$3,Model_Data!$A$4:$A$34,0),MATCH("Expense - Other Operating Expense",Model_Data!$A$3:$AG$3,0)),"")</f>
        <v>0</v>
      </c>
      <c r="D45" s="79">
        <f>IFERROR(INDEX(Model_Data!$A$4:$AG$34,MATCH(D$3,Model_Data!$A$4:$A$34,0),MATCH("Expense - Other Operating Expense",Model_Data!$A$3:$AG$3,0)),"")</f>
        <v>211.25</v>
      </c>
      <c r="E45" s="79">
        <f>IFERROR(INDEX(Model_Data!$A$4:$AG$34,MATCH(E$3,Model_Data!$A$4:$A$34,0),MATCH("Expense - Other Operating Expense",Model_Data!$A$3:$AG$3,0)),"")</f>
        <v>117.12</v>
      </c>
      <c r="F45" s="79">
        <f>IFERROR(INDEX(Model_Data!$A$4:$AG$34,MATCH(F$3,Model_Data!$A$4:$A$34,0),MATCH("Expense - Other Operating Expense",Model_Data!$A$3:$AG$3,0)),"")</f>
        <v>199.75</v>
      </c>
      <c r="G45" s="79">
        <f>IFERROR(INDEX(Model_Data!$A$4:$AG$34,MATCH(G$3,Model_Data!$A$4:$A$34,0),MATCH("Expense - Other Operating Expense",Model_Data!$A$3:$AG$3,0)),"")</f>
        <v>98.75</v>
      </c>
      <c r="H45" s="79">
        <f>IFERROR(INDEX(Model_Data!$A$4:$AG$34,MATCH(H$3,Model_Data!$A$4:$A$34,0),MATCH("Expense - Other Operating Expense",Model_Data!$A$3:$AG$3,0)),"")</f>
        <v>461.12</v>
      </c>
      <c r="I45" s="79">
        <f>IFERROR(INDEX(Model_Data!$A$4:$AG$34,MATCH(I$3,Model_Data!$A$4:$A$34,0),MATCH("Expense - Other Operating Expense",Model_Data!$A$3:$AG$3,0)),"")</f>
        <v>41.37</v>
      </c>
      <c r="J45" s="79">
        <f>IFERROR(INDEX(Model_Data!$A$4:$AG$34,MATCH(J$3,Model_Data!$A$4:$A$34,0),MATCH("Expense - Other Operating Expense",Model_Data!$A$3:$AG$3,0)),"")</f>
        <v>0</v>
      </c>
      <c r="K45" s="79">
        <f>IFERROR(INDEX(Model_Data!$A$4:$AG$34,MATCH(K$3,Model_Data!$A$4:$A$34,0),MATCH("Expense - Other Operating Expense",Model_Data!$A$3:$AG$3,0)),"")</f>
        <v>408.13</v>
      </c>
      <c r="L45" s="79">
        <f>IFERROR(INDEX(Model_Data!$A$4:$AG$34,MATCH(L$3,Model_Data!$A$4:$A$34,0),MATCH("Expense - Other Operating Expense",Model_Data!$A$3:$AG$3,0)),"")</f>
        <v>106.25</v>
      </c>
      <c r="M45" s="79">
        <f>IFERROR(INDEX(Model_Data!$A$4:$AG$34,MATCH(M$3,Model_Data!$A$4:$A$34,0),MATCH("Expense - Other Operating Expense",Model_Data!$A$3:$AG$3,0)),"")</f>
        <v>45</v>
      </c>
      <c r="N45" s="79">
        <f>IFERROR(INDEX(Model_Data!$A$4:$AG$34,MATCH(N$3,Model_Data!$A$4:$A$34,0),MATCH("Expense - Other Operating Expense",Model_Data!$A$3:$AG$3,0)),"")</f>
        <v>233</v>
      </c>
      <c r="O45" s="79">
        <f>IFERROR(INDEX(Model_Data!$A$4:$AG$34,MATCH(O$3,Model_Data!$A$4:$A$34,0),MATCH("Expense - Other Operating Expense",Model_Data!$A$3:$AG$3,0)),"")</f>
        <v>154.38</v>
      </c>
      <c r="P45" s="79">
        <f>IFERROR(INDEX(Model_Data!$A$4:$AG$34,MATCH(P$3,Model_Data!$A$4:$A$34,0),MATCH("Expense - Other Operating Expense",Model_Data!$A$3:$AG$3,0)),"")</f>
        <v>162.38</v>
      </c>
      <c r="Q45" s="79">
        <f>IFERROR(INDEX(Model_Data!$A$4:$AG$34,MATCH(Q$3,Model_Data!$A$4:$A$34,0),MATCH("Expense - Other Operating Expense",Model_Data!$A$3:$AG$3,0)),"")</f>
        <v>158.12</v>
      </c>
      <c r="R45" s="79">
        <f>IFERROR(INDEX(Model_Data!$A$4:$AG$34,MATCH(R$3,Model_Data!$A$4:$A$34,0),MATCH("Expense - Other Operating Expense",Model_Data!$A$3:$AG$3,0)),"")</f>
        <v>353.25</v>
      </c>
      <c r="S45" s="79">
        <f>IFERROR(INDEX(Model_Data!$A$4:$AG$34,MATCH(S$3,Model_Data!$A$4:$A$34,0),MATCH("Expense - Other Operating Expense",Model_Data!$A$3:$AG$3,0)),"")</f>
        <v>0</v>
      </c>
      <c r="T45" s="79">
        <f>IFERROR(INDEX(Model_Data!$A$4:$AG$34,MATCH(T$3,Model_Data!$A$4:$A$34,0),MATCH("Expense - Other Operating Expense",Model_Data!$A$3:$AG$3,0)),"")</f>
        <v>37.5</v>
      </c>
      <c r="U45" s="79">
        <f>IFERROR(INDEX(Model_Data!$A$4:$AG$34,MATCH(U$3,Model_Data!$A$4:$A$34,0),MATCH("Expense - Other Operating Expense",Model_Data!$A$3:$AG$3,0)),"")</f>
        <v>18.75</v>
      </c>
      <c r="V45" s="79">
        <f>IFERROR(INDEX(Model_Data!$A$4:$AG$34,MATCH(V$3,Model_Data!$A$4:$A$34,0),MATCH("Expense - Other Operating Expense",Model_Data!$A$3:$AG$3,0)),"")</f>
        <v>0</v>
      </c>
      <c r="W45" s="79">
        <f>IFERROR(INDEX(Model_Data!$A$4:$AG$34,MATCH(W$3,Model_Data!$A$4:$A$34,0),MATCH("Expense - Other Operating Expense",Model_Data!$A$3:$AG$3,0)),"")</f>
        <v>575</v>
      </c>
      <c r="X45" s="79">
        <f>IFERROR(INDEX(Model_Data!$A$4:$AG$34,MATCH(X$3,Model_Data!$A$4:$A$34,0),MATCH("Expense - Other Operating Expense",Model_Data!$A$3:$AG$3,0)),"")</f>
        <v>125</v>
      </c>
      <c r="Y45" s="79">
        <f>IFERROR(INDEX(Model_Data!$A$4:$AG$34,MATCH(Y$3,Model_Data!$A$4:$A$34,0),MATCH("Expense - Other Operating Expense",Model_Data!$A$3:$AG$3,0)),"")</f>
        <v>302.99</v>
      </c>
      <c r="Z45" s="79">
        <f>IFERROR(INDEX(Model_Data!$A$4:$AG$34,MATCH(Z$3,Model_Data!$A$4:$A$34,0),MATCH("Expense - Other Operating Expense",Model_Data!$A$3:$AG$3,0)),"")</f>
        <v>696.63</v>
      </c>
      <c r="AA45" s="79">
        <f>IFERROR(INDEX(Model_Data!$A$4:$AG$34,MATCH(AA$3,Model_Data!$A$4:$A$34,0),MATCH("Expense - Other Operating Expense",Model_Data!$A$3:$AG$3,0)),"")</f>
        <v>44.38</v>
      </c>
      <c r="AB45" s="79">
        <f>IFERROR(INDEX(Model_Data!$A$4:$AG$34,MATCH(AB$3,Model_Data!$A$4:$A$34,0),MATCH("Expense - Other Operating Expense",Model_Data!$A$3:$AG$3,0)),"")</f>
        <v>515.51</v>
      </c>
      <c r="AC45" s="79">
        <f>IFERROR(INDEX(Model_Data!$A$4:$AG$34,MATCH(AC$3,Model_Data!$A$4:$A$34,0),MATCH("Expense - Other Operating Expense",Model_Data!$A$3:$AG$3,0)),"")</f>
        <v>228.06</v>
      </c>
      <c r="AD45" s="79">
        <f>IFERROR(INDEX(Model_Data!$A$4:$AG$34,MATCH(AD$3,Model_Data!$A$4:$A$34,0),MATCH("Expense - Other Operating Expense",Model_Data!$A$3:$AG$3,0)),"")</f>
        <v>180.62</v>
      </c>
      <c r="AE45" s="79">
        <f>IFERROR(INDEX(Model_Data!$A$4:$AG$34,MATCH(AE$3,Model_Data!$A$4:$A$34,0),MATCH("Expense - Other Operating Expense",Model_Data!$A$3:$AG$3,0)),"")</f>
        <v>106.25</v>
      </c>
      <c r="AF45" s="79">
        <f>IFERROR(INDEX(Model_Data!$A$4:$AG$34,MATCH(AF$3,Model_Data!$A$4:$A$34,0),MATCH("Expense - Other Operating Expense",Model_Data!$A$3:$AG$3,0)),"")</f>
        <v>881.25</v>
      </c>
      <c r="AG45" s="79">
        <f>IFERROR(INDEX(Model_Data!$A$4:$AG$34,MATCH(AG$3,Model_Data!$A$4:$A$34,0),MATCH("Expense - Other Operating Expense",Model_Data!$A$3:$AG$3,0)),"")</f>
        <v>0</v>
      </c>
      <c r="AH45" s="80">
        <f>SUM(C45:AG45)</f>
        <v>6461.81</v>
      </c>
    </row>
    <row r="46" spans="1:34" ht="15.75" customHeight="1">
      <c r="A46" s="81" t="s">
        <v>314</v>
      </c>
      <c r="B46" s="82"/>
      <c r="C46" s="83">
        <f>SUM(C40:C45)</f>
        <v>562.6</v>
      </c>
      <c r="D46" s="83">
        <f>SUM(D40:D45)</f>
        <v>3938.52</v>
      </c>
      <c r="E46" s="83">
        <f>SUM(E40:E45)</f>
        <v>3391.12</v>
      </c>
      <c r="F46" s="83">
        <f>SUM(F40:F45)</f>
        <v>3411.75</v>
      </c>
      <c r="G46" s="83">
        <f>SUM(G40:G45)</f>
        <v>4667.75</v>
      </c>
      <c r="H46" s="83">
        <f>SUM(H40:H45)</f>
        <v>2905.14</v>
      </c>
      <c r="I46" s="83">
        <f>SUM(I40:I45)</f>
        <v>1598.2</v>
      </c>
      <c r="J46" s="83">
        <f>SUM(J40:J45)</f>
        <v>3059.88</v>
      </c>
      <c r="K46" s="83">
        <f>SUM(K40:K45)</f>
        <v>5688.62</v>
      </c>
      <c r="L46" s="83">
        <f>SUM(L40:L45)</f>
        <v>3303.88</v>
      </c>
      <c r="M46" s="83">
        <f>SUM(M40:M45)</f>
        <v>3900.95</v>
      </c>
      <c r="N46" s="83">
        <f>SUM(N40:N45)</f>
        <v>3728.5</v>
      </c>
      <c r="O46" s="83">
        <f>SUM(O40:O45)</f>
        <v>3537.4500000000003</v>
      </c>
      <c r="P46" s="83">
        <f>SUM(P40:P45)</f>
        <v>4711.78</v>
      </c>
      <c r="Q46" s="83">
        <f>SUM(Q40:Q45)</f>
        <v>6416.49</v>
      </c>
      <c r="R46" s="83">
        <f>SUM(R40:R45)</f>
        <v>6163.13</v>
      </c>
      <c r="S46" s="83">
        <f>SUM(S40:S45)</f>
        <v>5646.5</v>
      </c>
      <c r="T46" s="83">
        <f>SUM(T40:T45)</f>
        <v>5382.1900000000005</v>
      </c>
      <c r="U46" s="83">
        <f>SUM(U40:U45)</f>
        <v>5518.76</v>
      </c>
      <c r="V46" s="83">
        <f>SUM(V40:V45)</f>
        <v>5973.62</v>
      </c>
      <c r="W46" s="83">
        <f>SUM(W40:W45)</f>
        <v>5874.46</v>
      </c>
      <c r="X46" s="83">
        <f>SUM(X40:X45)</f>
        <v>5740.12</v>
      </c>
      <c r="Y46" s="83">
        <f>SUM(Y40:Y45)</f>
        <v>5613.87</v>
      </c>
      <c r="Z46" s="83">
        <f>SUM(Z40:Z45)</f>
        <v>6425.99</v>
      </c>
      <c r="AA46" s="83">
        <f>SUM(AA40:AA45)</f>
        <v>5708</v>
      </c>
      <c r="AB46" s="83">
        <f>SUM(AB40:AB45)</f>
        <v>6279.58</v>
      </c>
      <c r="AC46" s="83">
        <f>SUM(AC40:AC45)</f>
        <v>5952.75</v>
      </c>
      <c r="AD46" s="83">
        <f>SUM(AD40:AD45)</f>
        <v>6598.49</v>
      </c>
      <c r="AE46" s="83">
        <f>SUM(AE40:AE45)</f>
        <v>5661.8300000000008</v>
      </c>
      <c r="AF46" s="83">
        <f>SUM(AF40:AF45)</f>
        <v>3797.8</v>
      </c>
      <c r="AG46" s="83">
        <f>SUM(AG40:AG45)</f>
        <v>2905.9</v>
      </c>
      <c r="AH46" s="83">
        <f>SUM(AH40:AH45)</f>
        <v>144065.62000000002</v>
      </c>
    </row>
    <row r="47" spans="1:34" ht="3.75" customHeight="1">
      <c r="A47" s="84"/>
      <c r="B47" s="84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  <c r="AA47" s="85"/>
      <c r="AB47" s="85"/>
      <c r="AC47" s="85"/>
      <c r="AD47" s="85"/>
      <c r="AE47" s="85"/>
      <c r="AF47" s="85"/>
      <c r="AG47" s="85"/>
      <c r="AH47" s="85"/>
    </row>
    <row r="48" spans="1:34" ht="15.75" customHeight="1">
      <c r="A48" s="89" t="s">
        <v>315</v>
      </c>
      <c r="B48" s="71"/>
      <c r="C48" s="90">
        <f>C26-C31-C37-C46</f>
        <v>1237.4000000000001</v>
      </c>
      <c r="D48" s="90">
        <f>D26-D31-D37-D46</f>
        <v>-1163.52</v>
      </c>
      <c r="E48" s="90">
        <f>E26-E31-E37-E46</f>
        <v>1240.0100000000002</v>
      </c>
      <c r="F48" s="90">
        <f>F26-F31-F37-F46</f>
        <v>1030.5900000000001</v>
      </c>
      <c r="G48" s="90">
        <f>G26-G31-G37-G46</f>
        <v>205.84000000000015</v>
      </c>
      <c r="H48" s="90">
        <f>H26-H31-H37-H46</f>
        <v>1713.6100000000001</v>
      </c>
      <c r="I48" s="90">
        <f>I26-I31-I37-I46</f>
        <v>3500.8900000000003</v>
      </c>
      <c r="J48" s="90">
        <f>J26-J31-J37-J46</f>
        <v>2446.37</v>
      </c>
      <c r="K48" s="90">
        <f>K26-K31-K37-K46</f>
        <v>2820.13</v>
      </c>
      <c r="L48" s="90">
        <f>L26-L31-L37-L46</f>
        <v>4702.37</v>
      </c>
      <c r="M48" s="90">
        <f>M26-M31-M37-M46</f>
        <v>1951.9700000000003</v>
      </c>
      <c r="N48" s="90">
        <f>N26-N31-N37-N46</f>
        <v>2977.75</v>
      </c>
      <c r="O48" s="90">
        <f>O26-O31-O37-O46</f>
        <v>2693.7999999999997</v>
      </c>
      <c r="P48" s="90">
        <f>P26-P31-P37-P46</f>
        <v>265.64999999999964</v>
      </c>
      <c r="Q48" s="90">
        <f>Q26-Q31-Q37-Q46</f>
        <v>3758.7200000000012</v>
      </c>
      <c r="R48" s="90">
        <f>R26-R31-R37-R46</f>
        <v>3549.1599999999989</v>
      </c>
      <c r="S48" s="90">
        <f>S26-S31-S37-S46</f>
        <v>2818.92</v>
      </c>
      <c r="T48" s="90">
        <f>T26-T31-T37-T46</f>
        <v>2407.8099999999995</v>
      </c>
      <c r="U48" s="90">
        <f>U26-U31-U37-U46</f>
        <v>488.31999999999971</v>
      </c>
      <c r="V48" s="90">
        <f>V26-V31-V37-V46</f>
        <v>276.38000000000011</v>
      </c>
      <c r="W48" s="90">
        <f>W26-W31-W37-W46</f>
        <v>2922.21</v>
      </c>
      <c r="X48" s="90">
        <f>X26-X31-X37-X46</f>
        <v>2398.38</v>
      </c>
      <c r="Y48" s="90">
        <f>Y26-Y31-Y37-Y46</f>
        <v>6336.63</v>
      </c>
      <c r="Z48" s="90">
        <f>Z26-Z31-Z37-Z46</f>
        <v>4152.51</v>
      </c>
      <c r="AA48" s="90">
        <f>AA26-AA31-AA37-AA46</f>
        <v>7609.5</v>
      </c>
      <c r="AB48" s="90">
        <f>AB26-AB31-AB37-AB46</f>
        <v>4282.3000000000011</v>
      </c>
      <c r="AC48" s="90">
        <f>AC26-AC31-AC37-AC46</f>
        <v>6429.7999999999993</v>
      </c>
      <c r="AD48" s="90">
        <f>AD26-AD31-AD37-AD46</f>
        <v>4310.1400000000012</v>
      </c>
      <c r="AE48" s="90">
        <f>AE26-AE31-AE37-AE46</f>
        <v>4978.1699999999992</v>
      </c>
      <c r="AF48" s="90">
        <f>AF26-AF31-AF37-AF46</f>
        <v>1566.4499999999998</v>
      </c>
      <c r="AG48" s="90">
        <f>AG26-AG31-AG37-AG46</f>
        <v>1081.5999999999999</v>
      </c>
      <c r="AH48" s="90">
        <f>AH26-AH31-AH37-AH46</f>
        <v>84989.859999999957</v>
      </c>
    </row>
    <row r="49" spans="1:34" ht="3.75" customHeight="1">
      <c r="A49" s="84"/>
      <c r="B49" s="84"/>
      <c r="C49" s="85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  <c r="AA49" s="85"/>
      <c r="AB49" s="85"/>
      <c r="AC49" s="85"/>
      <c r="AD49" s="85"/>
      <c r="AE49" s="85"/>
      <c r="AF49" s="85"/>
      <c r="AG49" s="85"/>
      <c r="AH49" s="85"/>
    </row>
    <row r="50" spans="1:34" ht="15" customHeight="1">
      <c r="A50" s="268" t="s">
        <v>316</v>
      </c>
      <c r="B50" s="268"/>
      <c r="C50" s="268"/>
      <c r="D50" s="268"/>
      <c r="E50" s="268"/>
      <c r="F50" s="268"/>
      <c r="G50" s="268"/>
      <c r="H50" s="268"/>
      <c r="I50" s="268"/>
      <c r="J50" s="268"/>
      <c r="K50" s="268"/>
      <c r="L50" s="268"/>
      <c r="M50" s="268"/>
      <c r="N50" s="268"/>
      <c r="O50" s="268"/>
      <c r="P50" s="268"/>
      <c r="Q50" s="268"/>
      <c r="R50" s="268"/>
      <c r="S50" s="268"/>
      <c r="T50" s="268"/>
      <c r="U50" s="268"/>
      <c r="V50" s="268"/>
      <c r="W50" s="268"/>
      <c r="X50" s="268"/>
      <c r="Y50" s="268"/>
      <c r="Z50" s="268"/>
      <c r="AA50" s="268"/>
      <c r="AB50" s="268"/>
      <c r="AC50" s="268"/>
      <c r="AD50" s="268"/>
      <c r="AE50" s="268"/>
      <c r="AF50" s="268"/>
      <c r="AG50" s="268"/>
      <c r="AH50" s="268"/>
    </row>
    <row r="51" spans="1:34" ht="15" customHeight="1">
      <c r="A51" s="74" t="s">
        <v>317</v>
      </c>
      <c r="B51" s="75" t="s">
        <v>318</v>
      </c>
      <c r="C51" s="76">
        <f>IFERROR(INDEX(Model_Data!$A$4:$AG$34,MATCH(C$3,Model_Data!$A$4:$A$34,0),MATCH("Owner / Partner Distribution",Model_Data!$A$3:$AG$3,0)),"")</f>
        <v>0</v>
      </c>
      <c r="D51" s="76">
        <f>IFERROR(INDEX(Model_Data!$A$4:$AG$34,MATCH(D$3,Model_Data!$A$4:$A$34,0),MATCH("Owner / Partner Distribution",Model_Data!$A$3:$AG$3,0)),"")</f>
        <v>0</v>
      </c>
      <c r="E51" s="76">
        <f>IFERROR(INDEX(Model_Data!$A$4:$AG$34,MATCH(E$3,Model_Data!$A$4:$A$34,0),MATCH("Owner / Partner Distribution",Model_Data!$A$3:$AG$3,0)),"")</f>
        <v>150</v>
      </c>
      <c r="F51" s="76">
        <f>IFERROR(INDEX(Model_Data!$A$4:$AG$34,MATCH(F$3,Model_Data!$A$4:$A$34,0),MATCH("Owner / Partner Distribution",Model_Data!$A$3:$AG$3,0)),"")</f>
        <v>537.5</v>
      </c>
      <c r="G51" s="76">
        <f>IFERROR(INDEX(Model_Data!$A$4:$AG$34,MATCH(G$3,Model_Data!$A$4:$A$34,0),MATCH("Owner / Partner Distribution",Model_Data!$A$3:$AG$3,0)),"")</f>
        <v>150</v>
      </c>
      <c r="H51" s="76">
        <f>IFERROR(INDEX(Model_Data!$A$4:$AG$34,MATCH(H$3,Model_Data!$A$4:$A$34,0),MATCH("Owner / Partner Distribution",Model_Data!$A$3:$AG$3,0)),"")</f>
        <v>625</v>
      </c>
      <c r="I51" s="76">
        <f>IFERROR(INDEX(Model_Data!$A$4:$AG$34,MATCH(I$3,Model_Data!$A$4:$A$34,0),MATCH("Owner / Partner Distribution",Model_Data!$A$3:$AG$3,0)),"")</f>
        <v>1750</v>
      </c>
      <c r="J51" s="76">
        <f>IFERROR(INDEX(Model_Data!$A$4:$AG$34,MATCH(J$3,Model_Data!$A$4:$A$34,0),MATCH("Owner / Partner Distribution",Model_Data!$A$3:$AG$3,0)),"")</f>
        <v>5312.5</v>
      </c>
      <c r="K51" s="76">
        <f>IFERROR(INDEX(Model_Data!$A$4:$AG$34,MATCH(K$3,Model_Data!$A$4:$A$34,0),MATCH("Owner / Partner Distribution",Model_Data!$A$3:$AG$3,0)),"")</f>
        <v>1625</v>
      </c>
      <c r="L51" s="76">
        <f>IFERROR(INDEX(Model_Data!$A$4:$AG$34,MATCH(L$3,Model_Data!$A$4:$A$34,0),MATCH("Owner / Partner Distribution",Model_Data!$A$3:$AG$3,0)),"")</f>
        <v>0</v>
      </c>
      <c r="M51" s="76">
        <f>IFERROR(INDEX(Model_Data!$A$4:$AG$34,MATCH(M$3,Model_Data!$A$4:$A$34,0),MATCH("Owner / Partner Distribution",Model_Data!$A$3:$AG$3,0)),"")</f>
        <v>2625</v>
      </c>
      <c r="N51" s="76">
        <f>IFERROR(INDEX(Model_Data!$A$4:$AG$34,MATCH(N$3,Model_Data!$A$4:$A$34,0),MATCH("Owner / Partner Distribution",Model_Data!$A$3:$AG$3,0)),"")</f>
        <v>2375</v>
      </c>
      <c r="O51" s="76">
        <f>IFERROR(INDEX(Model_Data!$A$4:$AG$34,MATCH(O$3,Model_Data!$A$4:$A$34,0),MATCH("Owner / Partner Distribution",Model_Data!$A$3:$AG$3,0)),"")</f>
        <v>0</v>
      </c>
      <c r="P51" s="76">
        <f>IFERROR(INDEX(Model_Data!$A$4:$AG$34,MATCH(P$3,Model_Data!$A$4:$A$34,0),MATCH("Owner / Partner Distribution",Model_Data!$A$3:$AG$3,0)),"")</f>
        <v>475</v>
      </c>
      <c r="Q51" s="76">
        <f>IFERROR(INDEX(Model_Data!$A$4:$AG$34,MATCH(Q$3,Model_Data!$A$4:$A$34,0),MATCH("Owner / Partner Distribution",Model_Data!$A$3:$AG$3,0)),"")</f>
        <v>175</v>
      </c>
      <c r="R51" s="76">
        <f>IFERROR(INDEX(Model_Data!$A$4:$AG$34,MATCH(R$3,Model_Data!$A$4:$A$34,0),MATCH("Owner / Partner Distribution",Model_Data!$A$3:$AG$3,0)),"")</f>
        <v>3181.25</v>
      </c>
      <c r="S51" s="76">
        <f>IFERROR(INDEX(Model_Data!$A$4:$AG$34,MATCH(S$3,Model_Data!$A$4:$A$34,0),MATCH("Owner / Partner Distribution",Model_Data!$A$3:$AG$3,0)),"")</f>
        <v>1750</v>
      </c>
      <c r="T51" s="76">
        <f>IFERROR(INDEX(Model_Data!$A$4:$AG$34,MATCH(T$3,Model_Data!$A$4:$A$34,0),MATCH("Owner / Partner Distribution",Model_Data!$A$3:$AG$3,0)),"")</f>
        <v>812.5</v>
      </c>
      <c r="U51" s="76">
        <f>IFERROR(INDEX(Model_Data!$A$4:$AG$34,MATCH(U$3,Model_Data!$A$4:$A$34,0),MATCH("Owner / Partner Distribution",Model_Data!$A$3:$AG$3,0)),"")</f>
        <v>375</v>
      </c>
      <c r="V51" s="76">
        <f>IFERROR(INDEX(Model_Data!$A$4:$AG$34,MATCH(V$3,Model_Data!$A$4:$A$34,0),MATCH("Owner / Partner Distribution",Model_Data!$A$3:$AG$3,0)),"")</f>
        <v>0</v>
      </c>
      <c r="W51" s="76">
        <f>IFERROR(INDEX(Model_Data!$A$4:$AG$34,MATCH(W$3,Model_Data!$A$4:$A$34,0),MATCH("Owner / Partner Distribution",Model_Data!$A$3:$AG$3,0)),"")</f>
        <v>1000</v>
      </c>
      <c r="X51" s="76">
        <f>IFERROR(INDEX(Model_Data!$A$4:$AG$34,MATCH(X$3,Model_Data!$A$4:$A$34,0),MATCH("Owner / Partner Distribution",Model_Data!$A$3:$AG$3,0)),"")</f>
        <v>2750</v>
      </c>
      <c r="Y51" s="76">
        <f>IFERROR(INDEX(Model_Data!$A$4:$AG$34,MATCH(Y$3,Model_Data!$A$4:$A$34,0),MATCH("Owner / Partner Distribution",Model_Data!$A$3:$AG$3,0)),"")</f>
        <v>2312.5</v>
      </c>
      <c r="Z51" s="76">
        <f>IFERROR(INDEX(Model_Data!$A$4:$AG$34,MATCH(Z$3,Model_Data!$A$4:$A$34,0),MATCH("Owner / Partner Distribution",Model_Data!$A$3:$AG$3,0)),"")</f>
        <v>6525</v>
      </c>
      <c r="AA51" s="76">
        <f>IFERROR(INDEX(Model_Data!$A$4:$AG$34,MATCH(AA$3,Model_Data!$A$4:$A$34,0),MATCH("Owner / Partner Distribution",Model_Data!$A$3:$AG$3,0)),"")</f>
        <v>6100</v>
      </c>
      <c r="AB51" s="76">
        <f>IFERROR(INDEX(Model_Data!$A$4:$AG$34,MATCH(AB$3,Model_Data!$A$4:$A$34,0),MATCH("Owner / Partner Distribution",Model_Data!$A$3:$AG$3,0)),"")</f>
        <v>4490.5</v>
      </c>
      <c r="AC51" s="76">
        <f>IFERROR(INDEX(Model_Data!$A$4:$AG$34,MATCH(AC$3,Model_Data!$A$4:$A$34,0),MATCH("Owner / Partner Distribution",Model_Data!$A$3:$AG$3,0)),"")</f>
        <v>4750</v>
      </c>
      <c r="AD51" s="76">
        <f>IFERROR(INDEX(Model_Data!$A$4:$AG$34,MATCH(AD$3,Model_Data!$A$4:$A$34,0),MATCH("Owner / Partner Distribution",Model_Data!$A$3:$AG$3,0)),"")</f>
        <v>0</v>
      </c>
      <c r="AE51" s="76">
        <f>IFERROR(INDEX(Model_Data!$A$4:$AG$34,MATCH(AE$3,Model_Data!$A$4:$A$34,0),MATCH("Owner / Partner Distribution",Model_Data!$A$3:$AG$3,0)),"")</f>
        <v>4750</v>
      </c>
      <c r="AF51" s="76">
        <f>IFERROR(INDEX(Model_Data!$A$4:$AG$34,MATCH(AF$3,Model_Data!$A$4:$A$34,0),MATCH("Owner / Partner Distribution",Model_Data!$A$3:$AG$3,0)),"")</f>
        <v>1250</v>
      </c>
      <c r="AG51" s="76">
        <f>IFERROR(INDEX(Model_Data!$A$4:$AG$34,MATCH(AG$3,Model_Data!$A$4:$A$34,0),MATCH("Owner / Partner Distribution",Model_Data!$A$3:$AG$3,0)),"")</f>
        <v>0</v>
      </c>
      <c r="AH51" s="77">
        <f>SUM(C51:AG51)</f>
        <v>55846.75</v>
      </c>
    </row>
    <row r="52" spans="1:34" ht="15" customHeight="1">
      <c r="A52" s="16" t="s">
        <v>319</v>
      </c>
      <c r="B52" s="78" t="s">
        <v>320</v>
      </c>
      <c r="C52" s="79">
        <f>IFERROR(INDEX(Model_Data!$A$4:$AG$34,MATCH(C$3,Model_Data!$A$4:$A$34,0),MATCH("Owner Contribution",Model_Data!$A$3:$AG$3,0)),"")</f>
        <v>0</v>
      </c>
      <c r="D52" s="79">
        <f>IFERROR(INDEX(Model_Data!$A$4:$AG$34,MATCH(D$3,Model_Data!$A$4:$A$34,0),MATCH("Owner Contribution",Model_Data!$A$3:$AG$3,0)),"")</f>
        <v>0</v>
      </c>
      <c r="E52" s="79">
        <f>IFERROR(INDEX(Model_Data!$A$4:$AG$34,MATCH(E$3,Model_Data!$A$4:$A$34,0),MATCH("Owner Contribution",Model_Data!$A$3:$AG$3,0)),"")</f>
        <v>0</v>
      </c>
      <c r="F52" s="79">
        <f>IFERROR(INDEX(Model_Data!$A$4:$AG$34,MATCH(F$3,Model_Data!$A$4:$A$34,0),MATCH("Owner Contribution",Model_Data!$A$3:$AG$3,0)),"")</f>
        <v>0</v>
      </c>
      <c r="G52" s="79">
        <f>IFERROR(INDEX(Model_Data!$A$4:$AG$34,MATCH(G$3,Model_Data!$A$4:$A$34,0),MATCH("Owner Contribution",Model_Data!$A$3:$AG$3,0)),"")</f>
        <v>0</v>
      </c>
      <c r="H52" s="79">
        <f>IFERROR(INDEX(Model_Data!$A$4:$AG$34,MATCH(H$3,Model_Data!$A$4:$A$34,0),MATCH("Owner Contribution",Model_Data!$A$3:$AG$3,0)),"")</f>
        <v>0</v>
      </c>
      <c r="I52" s="79">
        <f>IFERROR(INDEX(Model_Data!$A$4:$AG$34,MATCH(I$3,Model_Data!$A$4:$A$34,0),MATCH("Owner Contribution",Model_Data!$A$3:$AG$3,0)),"")</f>
        <v>0</v>
      </c>
      <c r="J52" s="79">
        <f>IFERROR(INDEX(Model_Data!$A$4:$AG$34,MATCH(J$3,Model_Data!$A$4:$A$34,0),MATCH("Owner Contribution",Model_Data!$A$3:$AG$3,0)),"")</f>
        <v>0</v>
      </c>
      <c r="K52" s="79">
        <f>IFERROR(INDEX(Model_Data!$A$4:$AG$34,MATCH(K$3,Model_Data!$A$4:$A$34,0),MATCH("Owner Contribution",Model_Data!$A$3:$AG$3,0)),"")</f>
        <v>5875</v>
      </c>
      <c r="L52" s="79">
        <f>IFERROR(INDEX(Model_Data!$A$4:$AG$34,MATCH(L$3,Model_Data!$A$4:$A$34,0),MATCH("Owner Contribution",Model_Data!$A$3:$AG$3,0)),"")</f>
        <v>0</v>
      </c>
      <c r="M52" s="79">
        <f>IFERROR(INDEX(Model_Data!$A$4:$AG$34,MATCH(M$3,Model_Data!$A$4:$A$34,0),MATCH("Owner Contribution",Model_Data!$A$3:$AG$3,0)),"")</f>
        <v>0</v>
      </c>
      <c r="N52" s="79">
        <f>IFERROR(INDEX(Model_Data!$A$4:$AG$34,MATCH(N$3,Model_Data!$A$4:$A$34,0),MATCH("Owner Contribution",Model_Data!$A$3:$AG$3,0)),"")</f>
        <v>0</v>
      </c>
      <c r="O52" s="79">
        <f>IFERROR(INDEX(Model_Data!$A$4:$AG$34,MATCH(O$3,Model_Data!$A$4:$A$34,0),MATCH("Owner Contribution",Model_Data!$A$3:$AG$3,0)),"")</f>
        <v>0</v>
      </c>
      <c r="P52" s="79">
        <f>IFERROR(INDEX(Model_Data!$A$4:$AG$34,MATCH(P$3,Model_Data!$A$4:$A$34,0),MATCH("Owner Contribution",Model_Data!$A$3:$AG$3,0)),"")</f>
        <v>0</v>
      </c>
      <c r="Q52" s="79">
        <f>IFERROR(INDEX(Model_Data!$A$4:$AG$34,MATCH(Q$3,Model_Data!$A$4:$A$34,0),MATCH("Owner Contribution",Model_Data!$A$3:$AG$3,0)),"")</f>
        <v>0</v>
      </c>
      <c r="R52" s="79">
        <f>IFERROR(INDEX(Model_Data!$A$4:$AG$34,MATCH(R$3,Model_Data!$A$4:$A$34,0),MATCH("Owner Contribution",Model_Data!$A$3:$AG$3,0)),"")</f>
        <v>0</v>
      </c>
      <c r="S52" s="79">
        <f>IFERROR(INDEX(Model_Data!$A$4:$AG$34,MATCH(S$3,Model_Data!$A$4:$A$34,0),MATCH("Owner Contribution",Model_Data!$A$3:$AG$3,0)),"")</f>
        <v>0</v>
      </c>
      <c r="T52" s="79">
        <f>IFERROR(INDEX(Model_Data!$A$4:$AG$34,MATCH(T$3,Model_Data!$A$4:$A$34,0),MATCH("Owner Contribution",Model_Data!$A$3:$AG$3,0)),"")</f>
        <v>0</v>
      </c>
      <c r="U52" s="79">
        <f>IFERROR(INDEX(Model_Data!$A$4:$AG$34,MATCH(U$3,Model_Data!$A$4:$A$34,0),MATCH("Owner Contribution",Model_Data!$A$3:$AG$3,0)),"")</f>
        <v>0</v>
      </c>
      <c r="V52" s="79">
        <f>IFERROR(INDEX(Model_Data!$A$4:$AG$34,MATCH(V$3,Model_Data!$A$4:$A$34,0),MATCH("Owner Contribution",Model_Data!$A$3:$AG$3,0)),"")</f>
        <v>0</v>
      </c>
      <c r="W52" s="79">
        <f>IFERROR(INDEX(Model_Data!$A$4:$AG$34,MATCH(W$3,Model_Data!$A$4:$A$34,0),MATCH("Owner Contribution",Model_Data!$A$3:$AG$3,0)),"")</f>
        <v>0</v>
      </c>
      <c r="X52" s="79">
        <f>IFERROR(INDEX(Model_Data!$A$4:$AG$34,MATCH(X$3,Model_Data!$A$4:$A$34,0),MATCH("Owner Contribution",Model_Data!$A$3:$AG$3,0)),"")</f>
        <v>0</v>
      </c>
      <c r="Y52" s="79">
        <f>IFERROR(INDEX(Model_Data!$A$4:$AG$34,MATCH(Y$3,Model_Data!$A$4:$A$34,0),MATCH("Owner Contribution",Model_Data!$A$3:$AG$3,0)),"")</f>
        <v>0</v>
      </c>
      <c r="Z52" s="79">
        <f>IFERROR(INDEX(Model_Data!$A$4:$AG$34,MATCH(Z$3,Model_Data!$A$4:$A$34,0),MATCH("Owner Contribution",Model_Data!$A$3:$AG$3,0)),"")</f>
        <v>0</v>
      </c>
      <c r="AA52" s="79">
        <f>IFERROR(INDEX(Model_Data!$A$4:$AG$34,MATCH(AA$3,Model_Data!$A$4:$A$34,0),MATCH("Owner Contribution",Model_Data!$A$3:$AG$3,0)),"")</f>
        <v>0</v>
      </c>
      <c r="AB52" s="79">
        <f>IFERROR(INDEX(Model_Data!$A$4:$AG$34,MATCH(AB$3,Model_Data!$A$4:$A$34,0),MATCH("Owner Contribution",Model_Data!$A$3:$AG$3,0)),"")</f>
        <v>0</v>
      </c>
      <c r="AC52" s="79">
        <f>IFERROR(INDEX(Model_Data!$A$4:$AG$34,MATCH(AC$3,Model_Data!$A$4:$A$34,0),MATCH("Owner Contribution",Model_Data!$A$3:$AG$3,0)),"")</f>
        <v>0</v>
      </c>
      <c r="AD52" s="79">
        <f>IFERROR(INDEX(Model_Data!$A$4:$AG$34,MATCH(AD$3,Model_Data!$A$4:$A$34,0),MATCH("Owner Contribution",Model_Data!$A$3:$AG$3,0)),"")</f>
        <v>0</v>
      </c>
      <c r="AE52" s="79">
        <f>IFERROR(INDEX(Model_Data!$A$4:$AG$34,MATCH(AE$3,Model_Data!$A$4:$A$34,0),MATCH("Owner Contribution",Model_Data!$A$3:$AG$3,0)),"")</f>
        <v>0</v>
      </c>
      <c r="AF52" s="79">
        <f>IFERROR(INDEX(Model_Data!$A$4:$AG$34,MATCH(AF$3,Model_Data!$A$4:$A$34,0),MATCH("Owner Contribution",Model_Data!$A$3:$AG$3,0)),"")</f>
        <v>0</v>
      </c>
      <c r="AG52" s="79">
        <f>IFERROR(INDEX(Model_Data!$A$4:$AG$34,MATCH(AG$3,Model_Data!$A$4:$A$34,0),MATCH("Owner Contribution",Model_Data!$A$3:$AG$3,0)),"")</f>
        <v>0</v>
      </c>
      <c r="AH52" s="80">
        <f>SUM(C52:AG52)</f>
        <v>5875</v>
      </c>
    </row>
    <row r="53" spans="1:34" ht="3.75" customHeight="1">
      <c r="A53" s="84"/>
      <c r="B53" s="84"/>
      <c r="C53" s="85"/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  <c r="AA53" s="85"/>
      <c r="AB53" s="85"/>
      <c r="AC53" s="85"/>
      <c r="AD53" s="85"/>
      <c r="AE53" s="85"/>
      <c r="AF53" s="85"/>
      <c r="AG53" s="85"/>
      <c r="AH53" s="85"/>
    </row>
    <row r="54" spans="1:34" ht="15.75" customHeight="1">
      <c r="A54" s="81" t="s">
        <v>321</v>
      </c>
      <c r="B54" s="82"/>
      <c r="C54" s="91">
        <f>IF(C26&lt;&gt;0,C48/C26,"")</f>
        <v>0.68744444444444452</v>
      </c>
      <c r="D54" s="91">
        <f>IF(D26&lt;&gt;0,D48/D26,"")</f>
        <v>-0.41928648648648648</v>
      </c>
      <c r="E54" s="91">
        <f>IF(E26&lt;&gt;0,E48/E26,"")</f>
        <v>0.22648584474885849</v>
      </c>
      <c r="F54" s="91">
        <f>IF(F26&lt;&gt;0,F48/F26,"")</f>
        <v>0.20872708860759498</v>
      </c>
      <c r="G54" s="91">
        <f>IF(G26&lt;&gt;0,G48/G26,"")</f>
        <v>3.9068090154211178E-2</v>
      </c>
      <c r="H54" s="91">
        <f>IF(H26&lt;&gt;0,H48/H26,"")</f>
        <v>0.32679094159713945</v>
      </c>
      <c r="I54" s="91">
        <f>IF(I26&lt;&gt;0,I48/I26,"")</f>
        <v>0.53448702290076344</v>
      </c>
      <c r="J54" s="91">
        <f>IF(J26&lt;&gt;0,J48/J26,"")</f>
        <v>0.38563467980295563</v>
      </c>
      <c r="K54" s="91">
        <f>IF(K26&lt;&gt;0,K48/K26,"")</f>
        <v>0.26021960784313725</v>
      </c>
      <c r="L54" s="91">
        <f>IF(L26&lt;&gt;0,L48/L26,"")</f>
        <v>0.54878132749817654</v>
      </c>
      <c r="M54" s="91">
        <f>IF(M26&lt;&gt;0,M48/M26,"")</f>
        <v>0.26222938706968935</v>
      </c>
      <c r="N54" s="91">
        <f>IF(N26&lt;&gt;0,N48/N26,"")</f>
        <v>0.34751276440554341</v>
      </c>
      <c r="O54" s="91">
        <f>IF(O26&lt;&gt;0,O48/O26,"")</f>
        <v>0.4062280867106503</v>
      </c>
      <c r="P54" s="91">
        <f>IF(P26&lt;&gt;0,P48/P26,"")</f>
        <v>3.9653751768857312E-2</v>
      </c>
      <c r="Q54" s="91">
        <f>IF(Q26&lt;&gt;0,Q48/Q26,"")</f>
        <v>0.3295137053372223</v>
      </c>
      <c r="R54" s="91">
        <f>IF(R26&lt;&gt;0,R48/R26,"")</f>
        <v>0.27599796879629401</v>
      </c>
      <c r="S54" s="91">
        <f>IF(S26&lt;&gt;0,S48/S26,"")</f>
        <v>0.25787718696397943</v>
      </c>
      <c r="T54" s="91">
        <f>IF(T26&lt;&gt;0,T48/T26,"")</f>
        <v>0.25886950678672216</v>
      </c>
      <c r="U54" s="91">
        <f>IF(U26&lt;&gt;0,U48/U26,"")</f>
        <v>6.9487015297047275E-2</v>
      </c>
      <c r="V54" s="91">
        <f>IF(V26&lt;&gt;0,V48/V26,"")</f>
        <v>3.5433333333333344E-2</v>
      </c>
      <c r="W54" s="91">
        <f>IF(W26&lt;&gt;0,W48/W26,"")</f>
        <v>0.25975199999999998</v>
      </c>
      <c r="X54" s="91">
        <f>IF(X26&lt;&gt;0,X48/X26,"")</f>
        <v>0.21878038768529076</v>
      </c>
      <c r="Y54" s="91">
        <f>IF(Y26&lt;&gt;0,Y48/Y26,"")</f>
        <v>0.49796699410609035</v>
      </c>
      <c r="Z54" s="91">
        <f>IF(Z26&lt;&gt;0,Z48/Z26,"")</f>
        <v>0.31226880695931009</v>
      </c>
      <c r="AA54" s="91">
        <f>IF(AA26&lt;&gt;0,AA48/AA26,"")</f>
        <v>0.54092767016172028</v>
      </c>
      <c r="AB54" s="91">
        <f>IF(AB26&lt;&gt;0,AB48/AB26,"")</f>
        <v>0.31869749525187402</v>
      </c>
      <c r="AC54" s="91">
        <f>IF(AC26&lt;&gt;0,AC48/AC26,"")</f>
        <v>0.430771292186584</v>
      </c>
      <c r="AD54" s="91">
        <f>IF(AD26&lt;&gt;0,AD48/AD26,"")</f>
        <v>0.31607956732972786</v>
      </c>
      <c r="AE54" s="91">
        <f>IF(AE26&lt;&gt;0,AE48/AE26,"")</f>
        <v>0.37831632943858645</v>
      </c>
      <c r="AF54" s="91">
        <f>IF(AF26&lt;&gt;0,AF48/AF26,"")</f>
        <v>0.21114743049705137</v>
      </c>
      <c r="AG54" s="91">
        <f>IF(AG26&lt;&gt;0,AG48/AG26,"")</f>
        <v>0.27124764890282127</v>
      </c>
      <c r="AH54" s="91">
        <f>IF(AH26&lt;&gt;0,AH48/AH26,"")</f>
        <v>0.3086763512048965</v>
      </c>
    </row>
    <row r="55" spans="1:34" ht="24" customHeight="1">
      <c r="A55" s="267" t="s">
        <v>322</v>
      </c>
      <c r="B55" s="267"/>
      <c r="C55" s="267"/>
      <c r="D55" s="267"/>
      <c r="E55" s="267"/>
      <c r="F55" s="267"/>
      <c r="G55" s="267"/>
      <c r="H55" s="267"/>
      <c r="I55" s="267"/>
      <c r="J55" s="267"/>
      <c r="K55" s="267"/>
      <c r="L55" s="267"/>
      <c r="M55" s="267"/>
      <c r="N55" s="267"/>
      <c r="O55" s="267"/>
      <c r="P55" s="267"/>
      <c r="Q55" s="267"/>
      <c r="R55" s="267"/>
      <c r="S55" s="267"/>
      <c r="T55" s="267"/>
      <c r="U55" s="267"/>
      <c r="V55" s="267"/>
      <c r="W55" s="267"/>
      <c r="X55" s="267"/>
      <c r="Y55" s="267"/>
      <c r="Z55" s="267"/>
      <c r="AA55" s="267"/>
      <c r="AB55" s="267"/>
      <c r="AC55" s="267"/>
      <c r="AD55" s="267"/>
      <c r="AE55" s="267"/>
      <c r="AF55" s="267"/>
      <c r="AG55" s="267"/>
      <c r="AH55" s="267"/>
    </row>
  </sheetData>
  <mergeCells count="10">
    <mergeCell ref="A1:AH1"/>
    <mergeCell ref="A2:AH2"/>
    <mergeCell ref="A6:AH6"/>
    <mergeCell ref="A13:AH13"/>
    <mergeCell ref="A19:AH19"/>
    <mergeCell ref="A28:AH28"/>
    <mergeCell ref="A33:AH33"/>
    <mergeCell ref="A39:AH39"/>
    <mergeCell ref="A50:AH50"/>
    <mergeCell ref="A55:AH55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68"/>
  <sheetViews>
    <sheetView showGridLines="0" tabSelected="1" topLeftCell="A31" zoomScaleNormal="100" workbookViewId="0">
      <selection activeCell="F8" sqref="F8"/>
    </sheetView>
  </sheetViews>
  <sheetFormatPr defaultColWidth="8.7109375" defaultRowHeight="15"/>
  <cols>
    <col min="1" max="1" width="30" style="13" customWidth="1"/>
    <col min="2" max="5" width="14" style="13" customWidth="1"/>
    <col min="6" max="6" width="44" style="13" customWidth="1"/>
  </cols>
  <sheetData>
    <row r="1" spans="1:34" ht="25.5" customHeight="1">
      <c r="A1" s="279" t="s">
        <v>323</v>
      </c>
      <c r="B1" s="279"/>
      <c r="C1" s="279"/>
      <c r="D1" s="279"/>
      <c r="E1" s="279"/>
      <c r="F1" s="279"/>
      <c r="G1" s="330"/>
      <c r="H1" s="330"/>
      <c r="I1" s="330"/>
      <c r="J1" s="330"/>
      <c r="K1" s="330"/>
      <c r="L1" s="330"/>
      <c r="M1" s="330"/>
      <c r="N1" s="330"/>
      <c r="O1" s="330"/>
      <c r="P1" s="330"/>
      <c r="Q1" s="330"/>
      <c r="R1" s="330"/>
      <c r="S1" s="330"/>
      <c r="T1" s="330"/>
      <c r="U1" s="330"/>
      <c r="V1" s="330"/>
      <c r="W1" s="330"/>
      <c r="X1" s="330"/>
      <c r="Y1" s="330"/>
      <c r="Z1" s="330"/>
      <c r="AA1" s="330"/>
      <c r="AB1" s="330"/>
      <c r="AC1" s="330"/>
      <c r="AD1" s="330"/>
      <c r="AE1" s="330"/>
      <c r="AF1" s="330"/>
      <c r="AG1" s="330"/>
      <c r="AH1" s="330"/>
    </row>
    <row r="2" spans="1:34" ht="13.5" customHeight="1">
      <c r="A2" s="280" t="s">
        <v>324</v>
      </c>
      <c r="B2" s="280"/>
      <c r="C2" s="280"/>
      <c r="D2" s="280"/>
      <c r="E2" s="280"/>
      <c r="F2" s="280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spans="1:34" ht="6" customHeight="1"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1:34" ht="18" customHeight="1">
      <c r="A4" s="86"/>
      <c r="B4" s="93">
        <v>2019</v>
      </c>
      <c r="C4" s="93">
        <v>2020</v>
      </c>
      <c r="D4" s="94">
        <v>2021</v>
      </c>
      <c r="E4" s="93">
        <v>2022</v>
      </c>
      <c r="F4" s="93" t="s">
        <v>325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spans="1:34" ht="15.75" customHeight="1">
      <c r="A5" s="281" t="s">
        <v>326</v>
      </c>
      <c r="B5" s="281"/>
      <c r="C5" s="281"/>
      <c r="D5" s="281"/>
      <c r="E5" s="281"/>
      <c r="F5" s="28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</row>
    <row r="6" spans="1:34" ht="18" customHeight="1">
      <c r="A6" s="95" t="s">
        <v>327</v>
      </c>
      <c r="B6" s="76">
        <f>COUNTIF('Monthly_P&amp;L'!$C$4:$AG$4,B$4)</f>
        <v>2</v>
      </c>
      <c r="C6" s="76">
        <f>COUNTIF('Monthly_P&amp;L'!$C$4:$AG$4,C$4)</f>
        <v>10</v>
      </c>
      <c r="D6" s="76">
        <f>COUNTIF('Monthly_P&amp;L'!$C$4:$AG$4,D$4)</f>
        <v>12</v>
      </c>
      <c r="E6" s="76">
        <f>COUNTIF('Monthly_P&amp;L'!$C$4:$AG$4,E$4)</f>
        <v>7</v>
      </c>
      <c r="F6" s="96" t="s">
        <v>328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spans="1:34" ht="18" customHeight="1">
      <c r="A7" s="20" t="s">
        <v>120</v>
      </c>
      <c r="B7" s="79">
        <f>SUMIFS('Monthly_P&amp;L'!$C$7:$AG$7,'Monthly_P&amp;L'!$C$4:$AG$4,B$4)</f>
        <v>3250</v>
      </c>
      <c r="C7" s="79">
        <f>SUMIFS('Monthly_P&amp;L'!$C$7:$AG$7,'Monthly_P&amp;L'!$C$4:$AG$4,C$4)</f>
        <v>38162.5</v>
      </c>
      <c r="D7" s="79">
        <f>SUMIFS('Monthly_P&amp;L'!$C$7:$AG$7,'Monthly_P&amp;L'!$C$4:$AG$4,D$4)</f>
        <v>62811.869999999995</v>
      </c>
      <c r="E7" s="79">
        <f>SUMIFS('Monthly_P&amp;L'!$C$7:$AG$7,'Monthly_P&amp;L'!$C$4:$AG$4,E$4)</f>
        <v>36581.75</v>
      </c>
      <c r="F7" s="97" t="s">
        <v>329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</row>
    <row r="8" spans="1:34" ht="18" customHeight="1">
      <c r="A8" s="95" t="s">
        <v>124</v>
      </c>
      <c r="B8" s="76">
        <f>SUMIFS('Monthly_P&amp;L'!$C$8:$AG$8,'Monthly_P&amp;L'!$C$4:$AG$4,B$4)</f>
        <v>0</v>
      </c>
      <c r="C8" s="76">
        <f>SUMIFS('Monthly_P&amp;L'!$C$8:$AG$8,'Monthly_P&amp;L'!$C$4:$AG$4,C$4)</f>
        <v>13956.25</v>
      </c>
      <c r="D8" s="76">
        <f>SUMIFS('Monthly_P&amp;L'!$C$8:$AG$8,'Monthly_P&amp;L'!$C$4:$AG$4,D$4)</f>
        <v>16656.25</v>
      </c>
      <c r="E8" s="76">
        <f>SUMIFS('Monthly_P&amp;L'!$C$8:$AG$8,'Monthly_P&amp;L'!$C$4:$AG$4,E$4)</f>
        <v>7312.5</v>
      </c>
      <c r="F8" s="96" t="s">
        <v>330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</row>
    <row r="9" spans="1:34" ht="18" customHeight="1">
      <c r="A9" s="20" t="s">
        <v>128</v>
      </c>
      <c r="B9" s="79">
        <f>SUMIFS('Monthly_P&amp;L'!$C$9:$AG$9,'Monthly_P&amp;L'!$C$4:$AG$4,B$4)</f>
        <v>0</v>
      </c>
      <c r="C9" s="79">
        <f>SUMIFS('Monthly_P&amp;L'!$C$9:$AG$9,'Monthly_P&amp;L'!$C$4:$AG$4,C$4)</f>
        <v>7000</v>
      </c>
      <c r="D9" s="79">
        <f>SUMIFS('Monthly_P&amp;L'!$C$9:$AG$9,'Monthly_P&amp;L'!$C$4:$AG$4,D$4)</f>
        <v>30531.25</v>
      </c>
      <c r="E9" s="79">
        <f>SUMIFS('Monthly_P&amp;L'!$C$9:$AG$9,'Monthly_P&amp;L'!$C$4:$AG$4,E$4)</f>
        <v>20887.5</v>
      </c>
      <c r="F9" s="97" t="s">
        <v>331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</row>
    <row r="10" spans="1:34" ht="18" customHeight="1">
      <c r="A10" s="95" t="s">
        <v>130</v>
      </c>
      <c r="B10" s="76">
        <f>SUMIFS('Monthly_P&amp;L'!$C$10:$AG$10,'Monthly_P&amp;L'!$C$4:$AG$4,B$4)</f>
        <v>1200</v>
      </c>
      <c r="C10" s="76">
        <f>SUMIFS('Monthly_P&amp;L'!$C$10:$AG$10,'Monthly_P&amp;L'!$C$4:$AG$4,C$4)</f>
        <v>6618.75</v>
      </c>
      <c r="D10" s="76">
        <f>SUMIFS('Monthly_P&amp;L'!$C$10:$AG$10,'Monthly_P&amp;L'!$C$4:$AG$4,D$4)</f>
        <v>0</v>
      </c>
      <c r="E10" s="76">
        <f>SUMIFS('Monthly_P&amp;L'!$C$10:$AG$10,'Monthly_P&amp;L'!$C$4:$AG$4,E$4)</f>
        <v>0</v>
      </c>
      <c r="F10" s="96" t="s">
        <v>332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</row>
    <row r="11" spans="1:34" ht="18" customHeight="1">
      <c r="A11" s="20" t="s">
        <v>133</v>
      </c>
      <c r="B11" s="79">
        <f>SUMIFS('Monthly_P&amp;L'!$C$20:$AG$20,'Monthly_P&amp;L'!$C$4:$AG$4,B$4)</f>
        <v>0</v>
      </c>
      <c r="C11" s="79">
        <f>SUMIFS('Monthly_P&amp;L'!$C$20:$AG$20,'Monthly_P&amp;L'!$C$4:$AG$4,C$4)</f>
        <v>0</v>
      </c>
      <c r="D11" s="79">
        <f>SUMIFS('Monthly_P&amp;L'!$C$20:$AG$20,'Monthly_P&amp;L'!$C$4:$AG$4,D$4)</f>
        <v>5829.12</v>
      </c>
      <c r="E11" s="79">
        <f>SUMIFS('Monthly_P&amp;L'!$C$20:$AG$20,'Monthly_P&amp;L'!$C$4:$AG$4,E$4)</f>
        <v>14337.5</v>
      </c>
      <c r="F11" s="97" t="s">
        <v>333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</row>
    <row r="12" spans="1:34" ht="18" customHeight="1">
      <c r="A12" s="95" t="s">
        <v>334</v>
      </c>
      <c r="B12" s="76">
        <f>SUMIFS('Monthly_P&amp;L'!$C$14:$AG$14,'Monthly_P&amp;L'!$C$4:$AG$4,B$4)</f>
        <v>0</v>
      </c>
      <c r="C12" s="76">
        <f>SUMIFS('Monthly_P&amp;L'!$C$14:$AG$14,'Monthly_P&amp;L'!$C$4:$AG$4,C$4)</f>
        <v>568.75</v>
      </c>
      <c r="D12" s="76">
        <f>SUMIFS('Monthly_P&amp;L'!$C$14:$AG$14,'Monthly_P&amp;L'!$C$4:$AG$4,D$4)</f>
        <v>926.25</v>
      </c>
      <c r="E12" s="76">
        <f>SUMIFS('Monthly_P&amp;L'!$C$14:$AG$14,'Monthly_P&amp;L'!$C$4:$AG$4,E$4)</f>
        <v>156.25</v>
      </c>
      <c r="F12" s="96" t="s">
        <v>335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</row>
    <row r="13" spans="1:34" ht="18" customHeight="1">
      <c r="A13" s="20" t="s">
        <v>336</v>
      </c>
      <c r="B13" s="79">
        <f>SUMIFS('Monthly_P&amp;L'!$C$15:$AG$15,'Monthly_P&amp;L'!$C$4:$AG$4,B$4)</f>
        <v>0</v>
      </c>
      <c r="C13" s="79">
        <f>SUMIFS('Monthly_P&amp;L'!$C$15:$AG$15,'Monthly_P&amp;L'!$C$4:$AG$4,C$4)</f>
        <v>2075</v>
      </c>
      <c r="D13" s="79">
        <f>SUMIFS('Monthly_P&amp;L'!$C$15:$AG$15,'Monthly_P&amp;L'!$C$4:$AG$4,D$4)</f>
        <v>2068.75</v>
      </c>
      <c r="E13" s="79">
        <f>SUMIFS('Monthly_P&amp;L'!$C$15:$AG$15,'Monthly_P&amp;L'!$C$4:$AG$4,E$4)</f>
        <v>425</v>
      </c>
      <c r="F13" s="97" t="s">
        <v>337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</row>
    <row r="14" spans="1:34" ht="18" customHeight="1">
      <c r="A14" s="95" t="s">
        <v>338</v>
      </c>
      <c r="B14" s="76">
        <f>SUMIFS('Monthly_P&amp;L'!$C$22:$AG$22,'Monthly_P&amp;L'!$C$4:$AG$4,B$4)</f>
        <v>0</v>
      </c>
      <c r="C14" s="76">
        <f>SUMIFS('Monthly_P&amp;L'!$C$22:$AG$22,'Monthly_P&amp;L'!$C$4:$AG$4,C$4)</f>
        <v>0</v>
      </c>
      <c r="D14" s="76">
        <f>SUMIFS('Monthly_P&amp;L'!$C$22:$AG$22,'Monthly_P&amp;L'!$C$4:$AG$4,D$4)</f>
        <v>878.11</v>
      </c>
      <c r="E14" s="76">
        <f>SUMIFS('Monthly_P&amp;L'!$C$22:$AG$22,'Monthly_P&amp;L'!$C$4:$AG$4,E$4)</f>
        <v>612.63</v>
      </c>
      <c r="F14" s="96" t="s">
        <v>339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</row>
    <row r="15" spans="1:34" ht="18" customHeight="1">
      <c r="A15" s="20" t="s">
        <v>340</v>
      </c>
      <c r="B15" s="79">
        <f>SUMIFS('Monthly_P&amp;L'!$C$23:$AG$23,'Monthly_P&amp;L'!$C$4:$AG$4,B$4)</f>
        <v>125</v>
      </c>
      <c r="C15" s="79">
        <f>SUMIFS('Monthly_P&amp;L'!$C$23:$AG$23,'Monthly_P&amp;L'!$C$4:$AG$4,C$4)</f>
        <v>856.25</v>
      </c>
      <c r="D15" s="79">
        <f>SUMIFS('Monthly_P&amp;L'!$C$23:$AG$23,'Monthly_P&amp;L'!$C$4:$AG$4,D$4)</f>
        <v>1190.5</v>
      </c>
      <c r="E15" s="79">
        <f>SUMIFS('Monthly_P&amp;L'!$C$23:$AG$23,'Monthly_P&amp;L'!$C$4:$AG$4,E$4)</f>
        <v>125</v>
      </c>
      <c r="F15" s="97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</row>
    <row r="16" spans="1:34" ht="18" customHeight="1">
      <c r="A16" s="98" t="s">
        <v>286</v>
      </c>
      <c r="B16" s="99">
        <f>SUMIFS('Monthly_P&amp;L'!$C$26:$AG$26,'Monthly_P&amp;L'!$C$4:$AG$4,B$4)</f>
        <v>4575</v>
      </c>
      <c r="C16" s="99">
        <f>SUMIFS('Monthly_P&amp;L'!$C$26:$AG$26,'Monthly_P&amp;L'!$C$4:$AG$4,C$4)</f>
        <v>69237.5</v>
      </c>
      <c r="D16" s="99">
        <f>SUMIFS('Monthly_P&amp;L'!$C$26:$AG$26,'Monthly_P&amp;L'!$C$4:$AG$4,D$4)</f>
        <v>120892.09999999999</v>
      </c>
      <c r="E16" s="99">
        <f>SUMIFS('Monthly_P&amp;L'!$C$26:$AG$26,'Monthly_P&amp;L'!$C$4:$AG$4,E$4)</f>
        <v>80631.88</v>
      </c>
      <c r="F16" s="100" t="s">
        <v>341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</row>
    <row r="17" spans="1:6" ht="15.75" customHeight="1">
      <c r="B17" s="101"/>
      <c r="C17" s="101"/>
      <c r="D17" s="101"/>
      <c r="E17" s="101"/>
    </row>
    <row r="18" spans="1:6" ht="15.75" customHeight="1">
      <c r="A18" s="281" t="s">
        <v>342</v>
      </c>
      <c r="B18" s="281"/>
      <c r="C18" s="281"/>
      <c r="D18" s="281"/>
      <c r="E18" s="281"/>
      <c r="F18" s="281"/>
    </row>
    <row r="19" spans="1:6" ht="18" customHeight="1">
      <c r="A19" s="20" t="s">
        <v>343</v>
      </c>
      <c r="B19" s="79">
        <f>SUMIFS('Monthly_P&amp;L'!$C$29:$AG$29,'Monthly_P&amp;L'!$C$4:$AG$4,B$4)</f>
        <v>0</v>
      </c>
      <c r="C19" s="79">
        <f>SUMIFS('Monthly_P&amp;L'!$C$29:$AG$29,'Monthly_P&amp;L'!$C$4:$AG$4,C$4)</f>
        <v>371.55</v>
      </c>
      <c r="D19" s="79">
        <f>SUMIFS('Monthly_P&amp;L'!$C$29:$AG$29,'Monthly_P&amp;L'!$C$4:$AG$4,D$4)</f>
        <v>605.12</v>
      </c>
      <c r="E19" s="79">
        <f>SUMIFS('Monthly_P&amp;L'!$C$29:$AG$29,'Monthly_P&amp;L'!$C$4:$AG$4,E$4)</f>
        <v>102.08</v>
      </c>
      <c r="F19" s="97" t="s">
        <v>344</v>
      </c>
    </row>
    <row r="20" spans="1:6" ht="18" customHeight="1">
      <c r="A20" s="95" t="s">
        <v>345</v>
      </c>
      <c r="B20" s="76">
        <f>SUMIFS('Monthly_P&amp;L'!$C$30:$AG$30,'Monthly_P&amp;L'!$C$4:$AG$4,B$4)</f>
        <v>0</v>
      </c>
      <c r="C20" s="76">
        <f>SUMIFS('Monthly_P&amp;L'!$C$30:$AG$30,'Monthly_P&amp;L'!$C$4:$AG$4,C$4)</f>
        <v>1559.38</v>
      </c>
      <c r="D20" s="76">
        <f>SUMIFS('Monthly_P&amp;L'!$C$30:$AG$30,'Monthly_P&amp;L'!$C$4:$AG$4,D$4)</f>
        <v>1275</v>
      </c>
      <c r="E20" s="76">
        <f>SUMIFS('Monthly_P&amp;L'!$C$30:$AG$30,'Monthly_P&amp;L'!$C$4:$AG$4,E$4)</f>
        <v>300</v>
      </c>
      <c r="F20" s="96" t="s">
        <v>346</v>
      </c>
    </row>
    <row r="21" spans="1:6" ht="18" customHeight="1">
      <c r="A21" s="98" t="s">
        <v>347</v>
      </c>
      <c r="B21" s="99">
        <f>SUMIFS('Monthly_P&amp;L'!$C$31:$AG$31,'Monthly_P&amp;L'!$C$4:$AG$4,B$4)</f>
        <v>0</v>
      </c>
      <c r="C21" s="99">
        <f>SUMIFS('Monthly_P&amp;L'!$C$31:$AG$31,'Monthly_P&amp;L'!$C$4:$AG$4,C$4)</f>
        <v>1930.9299999999998</v>
      </c>
      <c r="D21" s="99">
        <f>SUMIFS('Monthly_P&amp;L'!$C$31:$AG$31,'Monthly_P&amp;L'!$C$4:$AG$4,D$4)</f>
        <v>1880.12</v>
      </c>
      <c r="E21" s="99">
        <f>SUMIFS('Monthly_P&amp;L'!$C$31:$AG$31,'Monthly_P&amp;L'!$C$4:$AG$4,E$4)</f>
        <v>402.08</v>
      </c>
      <c r="F21" s="100" t="s">
        <v>348</v>
      </c>
    </row>
    <row r="22" spans="1:6" ht="12.75" customHeight="1">
      <c r="B22" s="101"/>
      <c r="C22" s="101"/>
      <c r="D22" s="101"/>
      <c r="E22" s="101"/>
    </row>
    <row r="23" spans="1:6" ht="15.75" customHeight="1">
      <c r="A23" s="281" t="s">
        <v>301</v>
      </c>
      <c r="B23" s="281"/>
      <c r="C23" s="281"/>
      <c r="D23" s="281"/>
      <c r="E23" s="281"/>
      <c r="F23" s="281"/>
    </row>
    <row r="24" spans="1:6" ht="18" customHeight="1">
      <c r="A24" s="95" t="s">
        <v>198</v>
      </c>
      <c r="B24" s="76">
        <f>SUMIFS('Monthly_P&amp;L'!$C$34:$AG$34,'Monthly_P&amp;L'!$C$4:$AG$4,B$4)</f>
        <v>0</v>
      </c>
      <c r="C24" s="76">
        <f>SUMIFS('Monthly_P&amp;L'!$C$34:$AG$34,'Monthly_P&amp;L'!$C$4:$AG$4,C$4)</f>
        <v>8792.5</v>
      </c>
      <c r="D24" s="76">
        <f>SUMIFS('Monthly_P&amp;L'!$C$34:$AG$34,'Monthly_P&amp;L'!$C$4:$AG$4,D$4)</f>
        <v>19335.63</v>
      </c>
      <c r="E24" s="76">
        <f>SUMIFS('Monthly_P&amp;L'!$C$34:$AG$34,'Monthly_P&amp;L'!$C$4:$AG$4,E$4)</f>
        <v>12967.49</v>
      </c>
      <c r="F24" s="96" t="s">
        <v>349</v>
      </c>
    </row>
    <row r="25" spans="1:6" ht="18" customHeight="1">
      <c r="A25" s="20" t="s">
        <v>200</v>
      </c>
      <c r="B25" s="79">
        <f>SUMIFS('Monthly_P&amp;L'!$C$40:$AG$40,'Monthly_P&amp;L'!$C$4:$AG$4,B$4)</f>
        <v>2775</v>
      </c>
      <c r="C25" s="79">
        <f>SUMIFS('Monthly_P&amp;L'!$C$40:$AG$40,'Monthly_P&amp;L'!$C$4:$AG$4,C$4)</f>
        <v>25202.760000000002</v>
      </c>
      <c r="D25" s="79">
        <f>SUMIFS('Monthly_P&amp;L'!$C$40:$AG$40,'Monthly_P&amp;L'!$C$4:$AG$4,D$4)</f>
        <v>53421.75</v>
      </c>
      <c r="E25" s="79">
        <f>SUMIFS('Monthly_P&amp;L'!$C$40:$AG$40,'Monthly_P&amp;L'!$C$4:$AG$4,E$4)</f>
        <v>28830</v>
      </c>
      <c r="F25" s="97" t="s">
        <v>350</v>
      </c>
    </row>
    <row r="26" spans="1:6" ht="18" customHeight="1">
      <c r="A26" s="95" t="s">
        <v>202</v>
      </c>
      <c r="B26" s="76">
        <f>SUMIFS('Monthly_P&amp;L'!$C$41:$AG$41,'Monthly_P&amp;L'!$C$4:$AG$4,B$4)</f>
        <v>1264.8699999999999</v>
      </c>
      <c r="C26" s="76">
        <f>SUMIFS('Monthly_P&amp;L'!$C$41:$AG$41,'Monthly_P&amp;L'!$C$4:$AG$4,C$4)</f>
        <v>2159.17</v>
      </c>
      <c r="D26" s="76">
        <f>SUMIFS('Monthly_P&amp;L'!$C$41:$AG$41,'Monthly_P&amp;L'!$C$4:$AG$4,D$4)</f>
        <v>5837.26</v>
      </c>
      <c r="E26" s="76">
        <f>SUMIFS('Monthly_P&amp;L'!$C$41:$AG$41,'Monthly_P&amp;L'!$C$4:$AG$4,E$4)</f>
        <v>4174.8100000000004</v>
      </c>
      <c r="F26" s="96"/>
    </row>
    <row r="27" spans="1:6" ht="18" customHeight="1">
      <c r="A27" s="20" t="s">
        <v>150</v>
      </c>
      <c r="B27" s="79">
        <f>SUMIFS('Monthly_P&amp;L'!$C$42:$AG$42,'Monthly_P&amp;L'!$C$4:$AG$4,B$4)</f>
        <v>50</v>
      </c>
      <c r="C27" s="79">
        <f>SUMIFS('Monthly_P&amp;L'!$C$42:$AG$42,'Monthly_P&amp;L'!$C$4:$AG$4,C$4)</f>
        <v>2320.0100000000002</v>
      </c>
      <c r="D27" s="79">
        <f>SUMIFS('Monthly_P&amp;L'!$C$42:$AG$42,'Monthly_P&amp;L'!$C$4:$AG$4,D$4)</f>
        <v>3110.75</v>
      </c>
      <c r="E27" s="79">
        <f>SUMIFS('Monthly_P&amp;L'!$C$42:$AG$42,'Monthly_P&amp;L'!$C$4:$AG$4,E$4)</f>
        <v>1003.25</v>
      </c>
      <c r="F27" s="97" t="s">
        <v>351</v>
      </c>
    </row>
    <row r="28" spans="1:6" ht="18" customHeight="1">
      <c r="A28" s="95" t="s">
        <v>352</v>
      </c>
      <c r="B28" s="76">
        <f>SUMIFS('Monthly_P&amp;L'!$C$43:$AG$43,'Monthly_P&amp;L'!$C$4:$AG$4,B$4)</f>
        <v>0</v>
      </c>
      <c r="C28" s="76">
        <f>SUMIFS('Monthly_P&amp;L'!$C$43:$AG$43,'Monthly_P&amp;L'!$C$4:$AG$4,C$4)</f>
        <v>204.75</v>
      </c>
      <c r="D28" s="76">
        <f>SUMIFS('Monthly_P&amp;L'!$C$43:$AG$43,'Monthly_P&amp;L'!$C$4:$AG$4,D$4)</f>
        <v>1132.8600000000001</v>
      </c>
      <c r="E28" s="76">
        <f>SUMIFS('Monthly_P&amp;L'!$C$43:$AG$43,'Monthly_P&amp;L'!$C$4:$AG$4,E$4)</f>
        <v>908.33999999999992</v>
      </c>
      <c r="F28" s="96" t="s">
        <v>353</v>
      </c>
    </row>
    <row r="29" spans="1:6" ht="18" customHeight="1">
      <c r="A29" s="20" t="s">
        <v>354</v>
      </c>
      <c r="B29" s="79">
        <f>SUMIFS('Monthly_P&amp;L'!$C$35:$AG$35,'Monthly_P&amp;L'!$C$4:$AG$4,B$4)+SUMIFS('Monthly_P&amp;L'!$C$36:$AG$36,'Monthly_P&amp;L'!$C$4:$AG$4,B$4)</f>
        <v>0</v>
      </c>
      <c r="C29" s="79">
        <f>SUMIFS('Monthly_P&amp;L'!$C$35:$AG$35,'Monthly_P&amp;L'!$C$4:$AG$4,C$4)+SUMIFS('Monthly_P&amp;L'!$C$36:$AG$36,'Monthly_P&amp;L'!$C$4:$AG$4,C$4)</f>
        <v>268.75</v>
      </c>
      <c r="D29" s="79">
        <f>SUMIFS('Monthly_P&amp;L'!$C$35:$AG$35,'Monthly_P&amp;L'!$C$4:$AG$4,D$4)+SUMIFS('Monthly_P&amp;L'!$C$36:$AG$36,'Monthly_P&amp;L'!$C$4:$AG$4,D$4)</f>
        <v>603.5</v>
      </c>
      <c r="E29" s="79">
        <f>SUMIFS('Monthly_P&amp;L'!$C$35:$AG$35,'Monthly_P&amp;L'!$C$4:$AG$4,E$4)+SUMIFS('Monthly_P&amp;L'!$C$36:$AG$36,'Monthly_P&amp;L'!$C$4:$AG$4,E$4)</f>
        <v>100</v>
      </c>
      <c r="F29" s="97" t="s">
        <v>355</v>
      </c>
    </row>
    <row r="30" spans="1:6" ht="18" customHeight="1">
      <c r="A30" s="95" t="s">
        <v>356</v>
      </c>
      <c r="B30" s="76">
        <f>SUMIFS('Monthly_P&amp;L'!$C$44:$AG$44,'Monthly_P&amp;L'!$C$4:$AG$4,B$4)</f>
        <v>200</v>
      </c>
      <c r="C30" s="76">
        <f>SUMIFS('Monthly_P&amp;L'!$C$44:$AG$44,'Monthly_P&amp;L'!$C$4:$AG$4,C$4)</f>
        <v>4058.6099999999997</v>
      </c>
      <c r="D30" s="76">
        <f>SUMIFS('Monthly_P&amp;L'!$C$44:$AG$44,'Monthly_P&amp;L'!$C$4:$AG$4,D$4)</f>
        <v>917.74</v>
      </c>
      <c r="E30" s="76">
        <f>SUMIFS('Monthly_P&amp;L'!$C$44:$AG$44,'Monthly_P&amp;L'!$C$4:$AG$4,E$4)</f>
        <v>31.88</v>
      </c>
      <c r="F30" s="96"/>
    </row>
    <row r="31" spans="1:6" ht="18" customHeight="1">
      <c r="A31" s="20" t="s">
        <v>357</v>
      </c>
      <c r="B31" s="79">
        <f>SUMIFS('Monthly_P&amp;L'!$C$45:$AG$45,'Monthly_P&amp;L'!$C$4:$AG$4,B$4)</f>
        <v>211.25</v>
      </c>
      <c r="C31" s="79">
        <f>SUMIFS('Monthly_P&amp;L'!$C$45:$AG$45,'Monthly_P&amp;L'!$C$4:$AG$4,C$4)</f>
        <v>1710.49</v>
      </c>
      <c r="D31" s="79">
        <f>SUMIFS('Monthly_P&amp;L'!$C$45:$AG$45,'Monthly_P&amp;L'!$C$4:$AG$4,D$4)</f>
        <v>2584</v>
      </c>
      <c r="E31" s="79">
        <f>SUMIFS('Monthly_P&amp;L'!$C$45:$AG$45,'Monthly_P&amp;L'!$C$4:$AG$4,E$4)</f>
        <v>1956.0700000000002</v>
      </c>
      <c r="F31" s="97"/>
    </row>
    <row r="32" spans="1:6" ht="18" customHeight="1">
      <c r="A32" s="98" t="s">
        <v>358</v>
      </c>
      <c r="B32" s="99">
        <f>SUMIFS('Monthly_P&amp;L'!$C$31:$AG$31,'Monthly_P&amp;L'!$C$4:$AG$4,B$4)+SUMIFS('Monthly_P&amp;L'!$C$37:$AG$37,'Monthly_P&amp;L'!$C$4:$AG$4,B$4)+SUMIFS('Monthly_P&amp;L'!$C$46:$AG$46,'Monthly_P&amp;L'!$C$4:$AG$4,B$4)</f>
        <v>4501.12</v>
      </c>
      <c r="C32" s="99">
        <f>SUMIFS('Monthly_P&amp;L'!$C$31:$AG$31,'Monthly_P&amp;L'!$C$4:$AG$4,C$4)+SUMIFS('Monthly_P&amp;L'!$C$37:$AG$37,'Monthly_P&amp;L'!$C$4:$AG$4,C$4)+SUMIFS('Monthly_P&amp;L'!$C$46:$AG$46,'Monthly_P&amp;L'!$C$4:$AG$4,C$4)</f>
        <v>46647.97</v>
      </c>
      <c r="D32" s="99">
        <f>SUMIFS('Monthly_P&amp;L'!$C$31:$AG$31,'Monthly_P&amp;L'!$C$4:$AG$4,D$4)+SUMIFS('Monthly_P&amp;L'!$C$37:$AG$37,'Monthly_P&amp;L'!$C$4:$AG$4,D$4)+SUMIFS('Monthly_P&amp;L'!$C$46:$AG$46,'Monthly_P&amp;L'!$C$4:$AG$4,D$4)</f>
        <v>88823.610000000015</v>
      </c>
      <c r="E32" s="99">
        <f>SUMIFS('Monthly_P&amp;L'!$C$31:$AG$31,'Monthly_P&amp;L'!$C$4:$AG$4,E$4)+SUMIFS('Monthly_P&amp;L'!$C$37:$AG$37,'Monthly_P&amp;L'!$C$4:$AG$4,E$4)+SUMIFS('Monthly_P&amp;L'!$C$46:$AG$46,'Monthly_P&amp;L'!$C$4:$AG$4,E$4)</f>
        <v>50373.920000000006</v>
      </c>
      <c r="F32" s="100"/>
    </row>
    <row r="33" spans="1:6" ht="15" customHeight="1">
      <c r="B33" s="101"/>
      <c r="C33" s="101"/>
      <c r="D33" s="101"/>
      <c r="E33" s="101"/>
    </row>
    <row r="34" spans="1:6" ht="15.75" customHeight="1">
      <c r="A34" s="281" t="s">
        <v>359</v>
      </c>
      <c r="B34" s="281"/>
      <c r="C34" s="281"/>
      <c r="D34" s="281"/>
      <c r="E34" s="281"/>
      <c r="F34" s="281"/>
    </row>
    <row r="35" spans="1:6" ht="18" customHeight="1">
      <c r="A35" s="98" t="s">
        <v>315</v>
      </c>
      <c r="B35" s="102">
        <f>SUMIFS('Monthly_P&amp;L'!$C$48:$AG$48,'Monthly_P&amp;L'!$C$4:$AG$4,B$4)</f>
        <v>73.880000000000109</v>
      </c>
      <c r="C35" s="102">
        <f>SUMIFS('Monthly_P&amp;L'!$C$48:$AG$48,'Monthly_P&amp;L'!$C$4:$AG$4,C$4)</f>
        <v>22589.530000000002</v>
      </c>
      <c r="D35" s="102">
        <f>SUMIFS('Monthly_P&amp;L'!$C$48:$AG$48,'Monthly_P&amp;L'!$C$4:$AG$4,D$4)</f>
        <v>32068.489999999998</v>
      </c>
      <c r="E35" s="102">
        <f>SUMIFS('Monthly_P&amp;L'!$C$48:$AG$48,'Monthly_P&amp;L'!$C$4:$AG$4,E$4)</f>
        <v>30257.959999999995</v>
      </c>
      <c r="F35" s="100" t="s">
        <v>360</v>
      </c>
    </row>
    <row r="36" spans="1:6" ht="18" customHeight="1">
      <c r="A36" s="81" t="s">
        <v>321</v>
      </c>
      <c r="B36" s="83">
        <f>IF(B16&lt;&gt;0,B35/B16,"")</f>
        <v>1.6148633879781445E-2</v>
      </c>
      <c r="C36" s="83">
        <f>IF(C16&lt;&gt;0,C35/C16,"")</f>
        <v>0.32626149124390685</v>
      </c>
      <c r="D36" s="83">
        <f>IF(D16&lt;&gt;0,D35/D16,"")</f>
        <v>0.26526538954985479</v>
      </c>
      <c r="E36" s="83">
        <f>IF(E16&lt;&gt;0,E35/E16,"")</f>
        <v>0.37526050490203122</v>
      </c>
      <c r="F36" s="96" t="s">
        <v>361</v>
      </c>
    </row>
    <row r="37" spans="1:6" ht="18" customHeight="1">
      <c r="A37" s="20" t="s">
        <v>362</v>
      </c>
      <c r="B37" s="79">
        <f>IF(B6&lt;&gt;0,B16/B6,"")</f>
        <v>2287.5</v>
      </c>
      <c r="C37" s="79">
        <f>IF(C6&lt;&gt;0,C16/C6,"")</f>
        <v>6923.75</v>
      </c>
      <c r="D37" s="79">
        <f>IF(D6&lt;&gt;0,D16/D6,"")</f>
        <v>10074.341666666665</v>
      </c>
      <c r="E37" s="79">
        <f>IF(E6&lt;&gt;0,E16/E6,"")</f>
        <v>11518.84</v>
      </c>
      <c r="F37" s="97" t="s">
        <v>363</v>
      </c>
    </row>
    <row r="38" spans="1:6" ht="24" customHeight="1">
      <c r="A38" s="95" t="s">
        <v>364</v>
      </c>
      <c r="B38" s="76">
        <f>SUMIFS('Monthly_P&amp;L'!$C$51:$AG$51,'Monthly_P&amp;L'!$C$4:$AG$4,B$4)</f>
        <v>0</v>
      </c>
      <c r="C38" s="76">
        <f>SUMIFS('Monthly_P&amp;L'!$C$51:$AG$51,'Monthly_P&amp;L'!$C$4:$AG$4,C$4)</f>
        <v>15150</v>
      </c>
      <c r="D38" s="76">
        <f>SUMIFS('Monthly_P&amp;L'!$C$51:$AG$51,'Monthly_P&amp;L'!$C$4:$AG$4,D$4)</f>
        <v>19356.25</v>
      </c>
      <c r="E38" s="76">
        <f>SUMIFS('Monthly_P&amp;L'!$C$51:$AG$51,'Monthly_P&amp;L'!$C$4:$AG$4,E$4)</f>
        <v>21340.5</v>
      </c>
      <c r="F38" s="96" t="s">
        <v>365</v>
      </c>
    </row>
    <row r="39" spans="1:6" ht="15" customHeight="1">
      <c r="B39" s="101"/>
      <c r="C39" s="101"/>
      <c r="D39" s="101"/>
      <c r="E39" s="101"/>
    </row>
    <row r="40" spans="1:6" ht="15.75" customHeight="1">
      <c r="A40" s="281" t="s">
        <v>366</v>
      </c>
      <c r="B40" s="281"/>
      <c r="C40" s="281"/>
      <c r="D40" s="281"/>
      <c r="E40" s="281"/>
      <c r="F40" s="281"/>
    </row>
    <row r="41" spans="1:6" ht="18" customHeight="1">
      <c r="A41" s="20" t="s">
        <v>367</v>
      </c>
      <c r="B41" s="79">
        <f>SUMIFS('Monthly_P&amp;L'!$C$14:$AG$14,'Monthly_P&amp;L'!$C$4:$AG$4,B$4)</f>
        <v>0</v>
      </c>
      <c r="C41" s="79">
        <f>SUMIFS('Monthly_P&amp;L'!$C$14:$AG$14,'Monthly_P&amp;L'!$C$4:$AG$4,C$4)</f>
        <v>568.75</v>
      </c>
      <c r="D41" s="79">
        <f>SUMIFS('Monthly_P&amp;L'!$C$14:$AG$14,'Monthly_P&amp;L'!$C$4:$AG$4,D$4)</f>
        <v>926.25</v>
      </c>
      <c r="E41" s="79">
        <f>SUMIFS('Monthly_P&amp;L'!$C$14:$AG$14,'Monthly_P&amp;L'!$C$4:$AG$4,E$4)</f>
        <v>156.25</v>
      </c>
      <c r="F41" s="97" t="s">
        <v>368</v>
      </c>
    </row>
    <row r="42" spans="1:6" ht="18" customHeight="1">
      <c r="A42" s="95" t="s">
        <v>369</v>
      </c>
      <c r="B42" s="76">
        <f>SUMIFS('Monthly_P&amp;L'!$C$29:$AG$29,'Monthly_P&amp;L'!$C$4:$AG$4,B$4)</f>
        <v>0</v>
      </c>
      <c r="C42" s="76">
        <f>SUMIFS('Monthly_P&amp;L'!$C$29:$AG$29,'Monthly_P&amp;L'!$C$4:$AG$4,C$4)</f>
        <v>371.55</v>
      </c>
      <c r="D42" s="76">
        <f>SUMIFS('Monthly_P&amp;L'!$C$29:$AG$29,'Monthly_P&amp;L'!$C$4:$AG$4,D$4)</f>
        <v>605.12</v>
      </c>
      <c r="E42" s="76">
        <f>SUMIFS('Monthly_P&amp;L'!$C$29:$AG$29,'Monthly_P&amp;L'!$C$4:$AG$4,E$4)</f>
        <v>102.08</v>
      </c>
      <c r="F42" s="96" t="s">
        <v>370</v>
      </c>
    </row>
    <row r="43" spans="1:6" ht="18" customHeight="1">
      <c r="A43" s="20" t="s">
        <v>371</v>
      </c>
      <c r="B43" s="79">
        <f>B41-B42</f>
        <v>0</v>
      </c>
      <c r="C43" s="79">
        <f>C41-C42</f>
        <v>197.2</v>
      </c>
      <c r="D43" s="79">
        <f>D41-D42</f>
        <v>321.13</v>
      </c>
      <c r="E43" s="79">
        <f>E41-E42</f>
        <v>54.17</v>
      </c>
      <c r="F43" s="97" t="s">
        <v>372</v>
      </c>
    </row>
    <row r="44" spans="1:6" ht="16.5" customHeight="1">
      <c r="B44" s="101"/>
      <c r="C44" s="101"/>
      <c r="D44" s="101"/>
      <c r="E44" s="101"/>
    </row>
    <row r="45" spans="1:6" ht="18" customHeight="1">
      <c r="A45" s="20" t="s">
        <v>373</v>
      </c>
      <c r="B45" s="79">
        <f>SUMIFS('Monthly_P&amp;L'!$C$15:$AG$15,'Monthly_P&amp;L'!$C$4:$AG$4,B$4)</f>
        <v>0</v>
      </c>
      <c r="C45" s="79">
        <f>SUMIFS('Monthly_P&amp;L'!$C$15:$AG$15,'Monthly_P&amp;L'!$C$4:$AG$4,C$4)</f>
        <v>2075</v>
      </c>
      <c r="D45" s="79">
        <f>SUMIFS('Monthly_P&amp;L'!$C$15:$AG$15,'Monthly_P&amp;L'!$C$4:$AG$4,D$4)</f>
        <v>2068.75</v>
      </c>
      <c r="E45" s="79">
        <f>SUMIFS('Monthly_P&amp;L'!$C$15:$AG$15,'Monthly_P&amp;L'!$C$4:$AG$4,E$4)</f>
        <v>425</v>
      </c>
      <c r="F45" s="97" t="s">
        <v>374</v>
      </c>
    </row>
    <row r="46" spans="1:6" ht="18" customHeight="1">
      <c r="A46" s="95" t="s">
        <v>375</v>
      </c>
      <c r="B46" s="76">
        <f>SUMIFS('Monthly_P&amp;L'!$C$30:$AG$30,'Monthly_P&amp;L'!$C$4:$AG$4,B$4)</f>
        <v>0</v>
      </c>
      <c r="C46" s="76">
        <f>SUMIFS('Monthly_P&amp;L'!$C$30:$AG$30,'Monthly_P&amp;L'!$C$4:$AG$4,C$4)</f>
        <v>1559.38</v>
      </c>
      <c r="D46" s="76">
        <f>SUMIFS('Monthly_P&amp;L'!$C$30:$AG$30,'Monthly_P&amp;L'!$C$4:$AG$4,D$4)</f>
        <v>1275</v>
      </c>
      <c r="E46" s="76">
        <f>SUMIFS('Monthly_P&amp;L'!$C$30:$AG$30,'Monthly_P&amp;L'!$C$4:$AG$4,E$4)</f>
        <v>300</v>
      </c>
      <c r="F46" s="96" t="s">
        <v>376</v>
      </c>
    </row>
    <row r="47" spans="1:6" ht="18" customHeight="1">
      <c r="A47" s="20" t="s">
        <v>377</v>
      </c>
      <c r="B47" s="79">
        <f>B45-B46</f>
        <v>0</v>
      </c>
      <c r="C47" s="79">
        <f>C45-C46</f>
        <v>515.61999999999989</v>
      </c>
      <c r="D47" s="79">
        <f>D45-D46</f>
        <v>793.75</v>
      </c>
      <c r="E47" s="79">
        <f>E45-E46</f>
        <v>125</v>
      </c>
      <c r="F47" s="97" t="s">
        <v>378</v>
      </c>
    </row>
    <row r="48" spans="1:6" ht="16.5" customHeight="1">
      <c r="B48" s="101"/>
      <c r="C48" s="101"/>
      <c r="D48" s="101"/>
      <c r="E48" s="101"/>
    </row>
    <row r="49" spans="1:6" ht="15.75" customHeight="1">
      <c r="A49" s="281" t="s">
        <v>379</v>
      </c>
      <c r="B49" s="281"/>
      <c r="C49" s="281"/>
      <c r="D49" s="281"/>
      <c r="E49" s="281"/>
      <c r="F49" s="281"/>
    </row>
    <row r="50" spans="1:6" ht="18" customHeight="1">
      <c r="A50" s="95" t="s">
        <v>380</v>
      </c>
      <c r="B50" s="103">
        <f>IF(B$16&lt;&gt;0,B7/B$16,"")</f>
        <v>0.7103825136612022</v>
      </c>
      <c r="C50" s="103">
        <f>IF(C$16&lt;&gt;0,C7/C$16,"")</f>
        <v>0.55118252392128542</v>
      </c>
      <c r="D50" s="103">
        <f>IF(D$16&lt;&gt;0,D7/D$16,"")</f>
        <v>0.51956968238619394</v>
      </c>
      <c r="E50" s="103">
        <f>IF(E$16&lt;&gt;0,E7/E$16,"")</f>
        <v>0.45368841703802515</v>
      </c>
      <c r="F50" s="96" t="s">
        <v>381</v>
      </c>
    </row>
    <row r="51" spans="1:6" ht="18" customHeight="1">
      <c r="A51" s="20" t="s">
        <v>382</v>
      </c>
      <c r="B51" s="104">
        <f>IF(B$16&lt;&gt;0,B9/B$16,"")</f>
        <v>0</v>
      </c>
      <c r="C51" s="104">
        <f>IF(C$16&lt;&gt;0,C9/C$16,"")</f>
        <v>0.10110128181982307</v>
      </c>
      <c r="D51" s="104">
        <f>IF(D$16&lt;&gt;0,D9/D$16,"")</f>
        <v>0.25254958760746155</v>
      </c>
      <c r="E51" s="104">
        <f>IF(E$16&lt;&gt;0,E9/E$16,"")</f>
        <v>0.25904766204136626</v>
      </c>
      <c r="F51" s="97" t="s">
        <v>383</v>
      </c>
    </row>
    <row r="52" spans="1:6" ht="18" customHeight="1">
      <c r="A52" s="95" t="s">
        <v>384</v>
      </c>
      <c r="B52" s="103">
        <f>IF(B$16&lt;&gt;0,B25/B$16,"")</f>
        <v>0.60655737704918034</v>
      </c>
      <c r="C52" s="103">
        <f>IF(C$16&lt;&gt;0,C25/C$16,"")</f>
        <v>0.36400447734248065</v>
      </c>
      <c r="D52" s="103">
        <f>IF(D$16&lt;&gt;0,D25/D$16,"")</f>
        <v>0.44189612059017919</v>
      </c>
      <c r="E52" s="103">
        <f>IF(E$16&lt;&gt;0,E25/E$16,"")</f>
        <v>0.35755088434004018</v>
      </c>
      <c r="F52" s="96" t="s">
        <v>385</v>
      </c>
    </row>
    <row r="53" spans="1:6" ht="18" customHeight="1">
      <c r="A53" s="20" t="s">
        <v>386</v>
      </c>
      <c r="B53" s="104">
        <f>IF(B$16&lt;&gt;0,B24/B$16,"")</f>
        <v>0</v>
      </c>
      <c r="C53" s="104">
        <f>IF(C$16&lt;&gt;0,C24/C$16,"")</f>
        <v>0.12699043148582775</v>
      </c>
      <c r="D53" s="104">
        <f>IF(D$16&lt;&gt;0,D24/D$16,"")</f>
        <v>0.15994122031133551</v>
      </c>
      <c r="E53" s="104">
        <f>IF(E$16&lt;&gt;0,E24/E$16,"")</f>
        <v>0.16082336167778799</v>
      </c>
      <c r="F53" s="97" t="s">
        <v>387</v>
      </c>
    </row>
    <row r="54" spans="1:6" ht="18" customHeight="1">
      <c r="A54" s="95" t="s">
        <v>388</v>
      </c>
      <c r="B54" s="76" t="s">
        <v>199</v>
      </c>
      <c r="C54" s="76" t="s">
        <v>211</v>
      </c>
      <c r="D54" s="76" t="s">
        <v>226</v>
      </c>
      <c r="E54" s="76" t="s">
        <v>229</v>
      </c>
      <c r="F54" s="96"/>
    </row>
    <row r="55" spans="1:6" ht="18" customHeight="1">
      <c r="A55" s="20" t="s">
        <v>389</v>
      </c>
      <c r="B55" s="79">
        <v>2775</v>
      </c>
      <c r="C55" s="79">
        <v>10837.5</v>
      </c>
      <c r="D55" s="79">
        <v>13297.87</v>
      </c>
      <c r="E55" s="79">
        <v>14926.25</v>
      </c>
      <c r="F55" s="97"/>
    </row>
    <row r="56" spans="1:6" ht="18" customHeight="1">
      <c r="A56" s="95" t="s">
        <v>390</v>
      </c>
      <c r="B56" s="76" t="s">
        <v>197</v>
      </c>
      <c r="C56" s="76" t="s">
        <v>203</v>
      </c>
      <c r="D56" s="76" t="s">
        <v>215</v>
      </c>
      <c r="E56" s="76" t="s">
        <v>233</v>
      </c>
      <c r="F56" s="96"/>
    </row>
    <row r="57" spans="1:6" ht="18" customHeight="1">
      <c r="A57" s="20" t="s">
        <v>391</v>
      </c>
      <c r="B57" s="79">
        <v>1800</v>
      </c>
      <c r="C57" s="79">
        <v>4937.5</v>
      </c>
      <c r="D57" s="79">
        <v>6631.25</v>
      </c>
      <c r="E57" s="79">
        <v>3987.5</v>
      </c>
      <c r="F57" s="97"/>
    </row>
    <row r="58" spans="1:6" ht="15" customHeight="1">
      <c r="B58" s="105"/>
      <c r="C58" s="105"/>
      <c r="D58" s="105"/>
      <c r="E58" s="105"/>
    </row>
    <row r="59" spans="1:6" ht="15.75" customHeight="1">
      <c r="A59" s="281" t="s">
        <v>392</v>
      </c>
      <c r="B59" s="281"/>
      <c r="C59" s="281"/>
      <c r="D59" s="281"/>
      <c r="E59" s="281"/>
      <c r="F59" s="281"/>
    </row>
    <row r="60" spans="1:6" ht="19.5" customHeight="1">
      <c r="A60" s="95" t="s">
        <v>393</v>
      </c>
      <c r="B60" s="106" t="s">
        <v>59</v>
      </c>
      <c r="C60" s="107" t="s">
        <v>134</v>
      </c>
      <c r="D60" s="107" t="s">
        <v>134</v>
      </c>
      <c r="E60" s="107" t="s">
        <v>134</v>
      </c>
      <c r="F60" s="108" t="s">
        <v>394</v>
      </c>
    </row>
    <row r="61" spans="1:6" ht="19.5" customHeight="1">
      <c r="A61" s="20" t="s">
        <v>395</v>
      </c>
      <c r="B61" s="109" t="s">
        <v>134</v>
      </c>
      <c r="C61" s="110" t="s">
        <v>396</v>
      </c>
      <c r="D61" s="109" t="s">
        <v>134</v>
      </c>
      <c r="E61" s="109" t="s">
        <v>134</v>
      </c>
      <c r="F61" s="111" t="s">
        <v>397</v>
      </c>
    </row>
    <row r="62" spans="1:6" ht="19.5" customHeight="1">
      <c r="A62" s="95" t="s">
        <v>398</v>
      </c>
      <c r="B62" s="107" t="s">
        <v>134</v>
      </c>
      <c r="C62" s="106" t="s">
        <v>89</v>
      </c>
      <c r="D62" s="107" t="s">
        <v>134</v>
      </c>
      <c r="E62" s="107" t="s">
        <v>134</v>
      </c>
      <c r="F62" s="108" t="s">
        <v>399</v>
      </c>
    </row>
    <row r="63" spans="1:6" ht="19.5" customHeight="1">
      <c r="A63" s="20" t="s">
        <v>400</v>
      </c>
      <c r="B63" s="109" t="s">
        <v>134</v>
      </c>
      <c r="C63" s="109" t="s">
        <v>134</v>
      </c>
      <c r="D63" s="110" t="s">
        <v>95</v>
      </c>
      <c r="E63" s="109" t="s">
        <v>134</v>
      </c>
      <c r="F63" s="111" t="s">
        <v>401</v>
      </c>
    </row>
    <row r="64" spans="1:6" ht="19.5" customHeight="1">
      <c r="A64" s="95" t="s">
        <v>402</v>
      </c>
      <c r="B64" s="107" t="s">
        <v>134</v>
      </c>
      <c r="C64" s="107" t="s">
        <v>134</v>
      </c>
      <c r="D64" s="106" t="s">
        <v>100</v>
      </c>
      <c r="E64" s="107" t="s">
        <v>134</v>
      </c>
      <c r="F64" s="108" t="s">
        <v>403</v>
      </c>
    </row>
    <row r="65" spans="1:6" ht="19.5" customHeight="1">
      <c r="A65" s="20" t="s">
        <v>404</v>
      </c>
      <c r="B65" s="109" t="s">
        <v>134</v>
      </c>
      <c r="C65" s="109" t="s">
        <v>134</v>
      </c>
      <c r="D65" s="110" t="s">
        <v>102</v>
      </c>
      <c r="E65" s="109" t="s">
        <v>134</v>
      </c>
      <c r="F65" s="111" t="s">
        <v>405</v>
      </c>
    </row>
    <row r="66" spans="1:6" ht="19.5" customHeight="1">
      <c r="A66" s="95" t="s">
        <v>406</v>
      </c>
      <c r="B66" s="107" t="s">
        <v>134</v>
      </c>
      <c r="C66" s="107" t="s">
        <v>134</v>
      </c>
      <c r="D66" s="106" t="s">
        <v>104</v>
      </c>
      <c r="E66" s="107" t="s">
        <v>134</v>
      </c>
      <c r="F66" s="108" t="s">
        <v>407</v>
      </c>
    </row>
    <row r="67" spans="1:6" ht="19.5" customHeight="1">
      <c r="A67" s="20" t="s">
        <v>408</v>
      </c>
      <c r="B67" s="109" t="s">
        <v>134</v>
      </c>
      <c r="C67" s="109" t="s">
        <v>134</v>
      </c>
      <c r="D67" s="109" t="s">
        <v>134</v>
      </c>
      <c r="E67" s="110" t="s">
        <v>409</v>
      </c>
      <c r="F67" s="111" t="s">
        <v>410</v>
      </c>
    </row>
    <row r="68" spans="1:6" ht="15.75" customHeight="1">
      <c r="A68" s="282" t="s">
        <v>411</v>
      </c>
      <c r="B68" s="282"/>
      <c r="C68" s="282"/>
      <c r="D68" s="282"/>
      <c r="E68" s="282"/>
      <c r="F68" s="282"/>
    </row>
  </sheetData>
  <mergeCells count="10">
    <mergeCell ref="A1:F1"/>
    <mergeCell ref="A2:F2"/>
    <mergeCell ref="A5:F5"/>
    <mergeCell ref="A18:F18"/>
    <mergeCell ref="A23:F23"/>
    <mergeCell ref="A34:F34"/>
    <mergeCell ref="A40:F40"/>
    <mergeCell ref="A49:F49"/>
    <mergeCell ref="A59:F59"/>
    <mergeCell ref="A68:F68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80"/>
  <sheetViews>
    <sheetView topLeftCell="A14" zoomScaleNormal="100" workbookViewId="0">
      <selection activeCell="E26" sqref="E26"/>
    </sheetView>
  </sheetViews>
  <sheetFormatPr defaultColWidth="8.7109375" defaultRowHeight="15"/>
  <cols>
    <col min="1" max="1" width="24" style="13" customWidth="1"/>
    <col min="2" max="6" width="15" style="13" customWidth="1"/>
    <col min="7" max="7" width="32" style="13" customWidth="1"/>
    <col min="8" max="10" width="15" style="13" customWidth="1"/>
  </cols>
  <sheetData>
    <row r="1" spans="1:14" ht="24" customHeight="1">
      <c r="A1" s="253" t="s">
        <v>412</v>
      </c>
      <c r="B1" s="253"/>
      <c r="C1" s="253"/>
      <c r="D1" s="253"/>
      <c r="E1" s="253"/>
      <c r="F1" s="253"/>
      <c r="G1" s="253"/>
      <c r="H1" s="253"/>
      <c r="I1" s="253"/>
      <c r="J1" s="253"/>
      <c r="K1" s="56"/>
      <c r="L1" s="56"/>
      <c r="M1" s="56"/>
      <c r="N1" s="56"/>
    </row>
    <row r="2" spans="1:14" ht="19.5" customHeight="1">
      <c r="A2" s="254" t="s">
        <v>413</v>
      </c>
      <c r="B2" s="254"/>
      <c r="C2" s="254"/>
      <c r="D2" s="254"/>
      <c r="E2" s="254"/>
      <c r="F2" s="254"/>
      <c r="G2" s="254"/>
      <c r="H2" s="254"/>
      <c r="I2" s="254"/>
      <c r="J2" s="254"/>
      <c r="K2" s="56"/>
      <c r="L2" s="56"/>
      <c r="M2" s="56"/>
      <c r="N2" s="56"/>
    </row>
    <row r="3" spans="1:14" ht="15" customHeight="1">
      <c r="A3" s="56"/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</row>
    <row r="4" spans="1:14" ht="27.75" customHeight="1">
      <c r="A4" s="112" t="s">
        <v>414</v>
      </c>
      <c r="B4" s="112" t="s">
        <v>235</v>
      </c>
      <c r="C4" s="112" t="s">
        <v>236</v>
      </c>
      <c r="D4" s="112" t="s">
        <v>415</v>
      </c>
      <c r="E4" s="112" t="s">
        <v>416</v>
      </c>
      <c r="F4" s="112" t="s">
        <v>417</v>
      </c>
      <c r="G4" s="112" t="s">
        <v>418</v>
      </c>
      <c r="H4" s="112" t="s">
        <v>238</v>
      </c>
      <c r="I4" s="112" t="s">
        <v>239</v>
      </c>
      <c r="J4" s="112" t="s">
        <v>419</v>
      </c>
      <c r="K4" s="56"/>
      <c r="L4" s="56"/>
      <c r="M4" s="56"/>
      <c r="N4" s="56"/>
    </row>
    <row r="5" spans="1:14" ht="15" customHeight="1">
      <c r="A5" s="56" t="s">
        <v>247</v>
      </c>
      <c r="B5" s="113">
        <f>Budget_Assumptions!B46</f>
        <v>6762</v>
      </c>
      <c r="C5" s="113">
        <f>SUMIFS(Model_Data!$P:$P,Model_Data!$B:$B,2021,Model_Data!$C:$C,A5)</f>
        <v>6631.25</v>
      </c>
      <c r="D5" s="114">
        <f>C5-B5</f>
        <v>-130.75</v>
      </c>
      <c r="E5" s="113">
        <f>Budget_Assumptions!B57</f>
        <v>4987</v>
      </c>
      <c r="F5" s="113">
        <f>SUMIFS(Model_Data!$AB:$AB,Model_Data!$B:$B,2021,Model_Data!$C:$C,A5)</f>
        <v>3937.45</v>
      </c>
      <c r="G5" s="114">
        <f>F5-E5</f>
        <v>-1049.5500000000002</v>
      </c>
      <c r="H5" s="113">
        <f>Budget_Assumptions!B59</f>
        <v>1775</v>
      </c>
      <c r="I5" s="113">
        <f>SUMIFS(Model_Data!$AC:$AC,Model_Data!$B:$B,2021,Model_Data!$C:$C,A5)</f>
        <v>2693.8</v>
      </c>
      <c r="J5" s="114">
        <f>I5-H5</f>
        <v>918.80000000000018</v>
      </c>
      <c r="K5" s="56"/>
      <c r="L5" s="56"/>
      <c r="M5" s="56"/>
      <c r="N5" s="56"/>
    </row>
    <row r="6" spans="1:14" ht="15" customHeight="1">
      <c r="A6" s="56" t="s">
        <v>248</v>
      </c>
      <c r="B6" s="113">
        <f>Budget_Assumptions!C46</f>
        <v>7325.5</v>
      </c>
      <c r="C6" s="113">
        <f>SUMIFS(Model_Data!$P:$P,Model_Data!$B:$B,2021,Model_Data!$C:$C,A6)</f>
        <v>6699.24</v>
      </c>
      <c r="D6" s="114">
        <f>C6-B6</f>
        <v>-626.26000000000022</v>
      </c>
      <c r="E6" s="113">
        <f>Budget_Assumptions!C57</f>
        <v>6194.25</v>
      </c>
      <c r="F6" s="113">
        <f>SUMIFS(Model_Data!$AB:$AB,Model_Data!$B:$B,2021,Model_Data!$C:$C,A6)</f>
        <v>6433.59</v>
      </c>
      <c r="G6" s="114">
        <f>F6-E6</f>
        <v>239.34000000000015</v>
      </c>
      <c r="H6" s="113">
        <f>Budget_Assumptions!C59</f>
        <v>1131.25</v>
      </c>
      <c r="I6" s="113">
        <f>SUMIFS(Model_Data!$AC:$AC,Model_Data!$B:$B,2021,Model_Data!$C:$C,A6)</f>
        <v>265.64999999999998</v>
      </c>
      <c r="J6" s="114">
        <f>I6-H6</f>
        <v>-865.6</v>
      </c>
      <c r="K6" s="56"/>
      <c r="L6" s="56"/>
      <c r="M6" s="56"/>
      <c r="N6" s="56"/>
    </row>
    <row r="7" spans="1:14" ht="15" customHeight="1">
      <c r="A7" s="56" t="s">
        <v>249</v>
      </c>
      <c r="B7" s="113">
        <f>Budget_Assumptions!D46</f>
        <v>9579.5</v>
      </c>
      <c r="C7" s="113">
        <f>SUMIFS(Model_Data!$P:$P,Model_Data!$B:$B,2021,Model_Data!$C:$C,A7)</f>
        <v>11406.87</v>
      </c>
      <c r="D7" s="114">
        <f>C7-B7</f>
        <v>1827.3700000000008</v>
      </c>
      <c r="E7" s="113">
        <f>Budget_Assumptions!D57</f>
        <v>7673.25</v>
      </c>
      <c r="F7" s="113">
        <f>SUMIFS(Model_Data!$AB:$AB,Model_Data!$B:$B,2021,Model_Data!$C:$C,A7)</f>
        <v>7648.15</v>
      </c>
      <c r="G7" s="114">
        <f>F7-E7</f>
        <v>-25.100000000000364</v>
      </c>
      <c r="H7" s="113">
        <f>Budget_Assumptions!D59</f>
        <v>1906.25</v>
      </c>
      <c r="I7" s="113">
        <f>SUMIFS(Model_Data!$AC:$AC,Model_Data!$B:$B,2021,Model_Data!$C:$C,A7)</f>
        <v>3758.72</v>
      </c>
      <c r="J7" s="114">
        <f>I7-H7</f>
        <v>1852.4699999999998</v>
      </c>
      <c r="K7" s="56"/>
      <c r="L7" s="56"/>
      <c r="M7" s="56"/>
      <c r="N7" s="56"/>
    </row>
    <row r="8" spans="1:14" ht="15" customHeight="1">
      <c r="A8" s="56" t="s">
        <v>255</v>
      </c>
      <c r="B8" s="113">
        <f>Budget_Assumptions!E46</f>
        <v>10543</v>
      </c>
      <c r="C8" s="113">
        <f>SUMIFS(Model_Data!$P:$P,Model_Data!$B:$B,2021,Model_Data!$C:$C,A8)</f>
        <v>12859.37</v>
      </c>
      <c r="D8" s="114">
        <f>C8-B8</f>
        <v>2316.3700000000008</v>
      </c>
      <c r="E8" s="113">
        <f>Budget_Assumptions!E57</f>
        <v>7780.5</v>
      </c>
      <c r="F8" s="113">
        <f>SUMIFS(Model_Data!$AB:$AB,Model_Data!$B:$B,2021,Model_Data!$C:$C,A8)</f>
        <v>9310.2099999999991</v>
      </c>
      <c r="G8" s="114">
        <f>F8-E8</f>
        <v>1529.7099999999991</v>
      </c>
      <c r="H8" s="113">
        <f>Budget_Assumptions!E59</f>
        <v>2762.5</v>
      </c>
      <c r="I8" s="113">
        <f>SUMIFS(Model_Data!$AC:$AC,Model_Data!$B:$B,2021,Model_Data!$C:$C,A8)</f>
        <v>3549.16</v>
      </c>
      <c r="J8" s="114">
        <f>I8-H8</f>
        <v>786.65999999999985</v>
      </c>
      <c r="K8" s="56"/>
      <c r="L8" s="56"/>
      <c r="M8" s="56"/>
      <c r="N8" s="56"/>
    </row>
    <row r="9" spans="1:14" ht="15" customHeight="1">
      <c r="A9" s="56" t="s">
        <v>256</v>
      </c>
      <c r="B9" s="113">
        <f>Budget_Assumptions!F46</f>
        <v>10543</v>
      </c>
      <c r="C9" s="113">
        <f>SUMIFS(Model_Data!$P:$P,Model_Data!$B:$B,2021,Model_Data!$C:$C,A9)</f>
        <v>10931.25</v>
      </c>
      <c r="D9" s="114">
        <f>C9-B9</f>
        <v>388.25</v>
      </c>
      <c r="E9" s="113">
        <f>Budget_Assumptions!F57</f>
        <v>7780.5</v>
      </c>
      <c r="F9" s="113">
        <f>SUMIFS(Model_Data!$AB:$AB,Model_Data!$B:$B,2021,Model_Data!$C:$C,A9)</f>
        <v>8112.33</v>
      </c>
      <c r="G9" s="114">
        <f>F9-E9</f>
        <v>331.82999999999993</v>
      </c>
      <c r="H9" s="113">
        <f>Budget_Assumptions!F59</f>
        <v>2762.5</v>
      </c>
      <c r="I9" s="113">
        <f>SUMIFS(Model_Data!$AC:$AC,Model_Data!$B:$B,2021,Model_Data!$C:$C,A9)</f>
        <v>2818.92</v>
      </c>
      <c r="J9" s="114">
        <f>I9-H9</f>
        <v>56.420000000000073</v>
      </c>
      <c r="K9" s="56"/>
      <c r="L9" s="56"/>
      <c r="M9" s="56"/>
      <c r="N9" s="56"/>
    </row>
    <row r="10" spans="1:14" ht="15" customHeight="1">
      <c r="A10" s="56" t="s">
        <v>250</v>
      </c>
      <c r="B10" s="113">
        <f>Budget_Assumptions!G46</f>
        <v>8852.5</v>
      </c>
      <c r="C10" s="113">
        <f>SUMIFS(Model_Data!$P:$P,Model_Data!$B:$B,2021,Model_Data!$C:$C,A10)</f>
        <v>9301.25</v>
      </c>
      <c r="D10" s="114">
        <f>C10-B10</f>
        <v>448.75</v>
      </c>
      <c r="E10" s="113">
        <f>Budget_Assumptions!G57</f>
        <v>7308.75</v>
      </c>
      <c r="F10" s="113">
        <f>SUMIFS(Model_Data!$AB:$AB,Model_Data!$B:$B,2021,Model_Data!$C:$C,A10)</f>
        <v>6893.44</v>
      </c>
      <c r="G10" s="114">
        <f>F10-E10</f>
        <v>-415.3100000000004</v>
      </c>
      <c r="H10" s="113">
        <f>Budget_Assumptions!G59</f>
        <v>1543.75</v>
      </c>
      <c r="I10" s="113">
        <f>SUMIFS(Model_Data!$AC:$AC,Model_Data!$B:$B,2021,Model_Data!$C:$C,A10)</f>
        <v>2407.81</v>
      </c>
      <c r="J10" s="114">
        <f>I10-H10</f>
        <v>864.06</v>
      </c>
      <c r="K10" s="56"/>
      <c r="L10" s="56"/>
      <c r="M10" s="56"/>
      <c r="N10" s="56"/>
    </row>
    <row r="11" spans="1:14" ht="15" customHeight="1">
      <c r="A11" s="56" t="s">
        <v>251</v>
      </c>
      <c r="B11" s="113">
        <f>Budget_Assumptions!H46</f>
        <v>8189</v>
      </c>
      <c r="C11" s="113">
        <f>SUMIFS(Model_Data!$P:$P,Model_Data!$B:$B,2021,Model_Data!$C:$C,A11)</f>
        <v>7027.5</v>
      </c>
      <c r="D11" s="114">
        <f>C11-B11</f>
        <v>-1161.5</v>
      </c>
      <c r="E11" s="113">
        <f>Budget_Assumptions!H57</f>
        <v>7201.5</v>
      </c>
      <c r="F11" s="113">
        <f>SUMIFS(Model_Data!$AB:$AB,Model_Data!$B:$B,2021,Model_Data!$C:$C,A11)</f>
        <v>6539.18</v>
      </c>
      <c r="G11" s="114">
        <f>F11-E11</f>
        <v>-662.31999999999971</v>
      </c>
      <c r="H11" s="113">
        <f>Budget_Assumptions!H59</f>
        <v>987.5</v>
      </c>
      <c r="I11" s="113">
        <f>SUMIFS(Model_Data!$AC:$AC,Model_Data!$B:$B,2021,Model_Data!$C:$C,A11)</f>
        <v>488.32</v>
      </c>
      <c r="J11" s="114">
        <f>I11-H11</f>
        <v>-499.18</v>
      </c>
      <c r="K11" s="56"/>
      <c r="L11" s="56"/>
      <c r="M11" s="56"/>
      <c r="N11" s="56"/>
    </row>
    <row r="12" spans="1:14" ht="15" customHeight="1">
      <c r="A12" s="56" t="s">
        <v>252</v>
      </c>
      <c r="B12" s="113">
        <f>Budget_Assumptions!I46</f>
        <v>8189</v>
      </c>
      <c r="C12" s="113">
        <f>SUMIFS(Model_Data!$P:$P,Model_Data!$B:$B,2021,Model_Data!$C:$C,A12)</f>
        <v>7800</v>
      </c>
      <c r="D12" s="114">
        <f>C12-B12</f>
        <v>-389</v>
      </c>
      <c r="E12" s="113">
        <f>Budget_Assumptions!I57</f>
        <v>7251.5</v>
      </c>
      <c r="F12" s="113">
        <f>SUMIFS(Model_Data!$AB:$AB,Model_Data!$B:$B,2021,Model_Data!$C:$C,A12)</f>
        <v>7523.62</v>
      </c>
      <c r="G12" s="114">
        <f>F12-E12</f>
        <v>272.11999999999989</v>
      </c>
      <c r="H12" s="113">
        <f>Budget_Assumptions!I59</f>
        <v>937.5</v>
      </c>
      <c r="I12" s="113">
        <f>SUMIFS(Model_Data!$AC:$AC,Model_Data!$B:$B,2021,Model_Data!$C:$C,A12)</f>
        <v>276.38</v>
      </c>
      <c r="J12" s="114">
        <f>I12-H12</f>
        <v>-661.12</v>
      </c>
      <c r="K12" s="56"/>
      <c r="L12" s="56"/>
      <c r="M12" s="56"/>
      <c r="N12" s="56"/>
    </row>
    <row r="13" spans="1:14" ht="15" customHeight="1">
      <c r="A13" s="56" t="s">
        <v>253</v>
      </c>
      <c r="B13" s="113">
        <f>Budget_Assumptions!J46</f>
        <v>11306.5</v>
      </c>
      <c r="C13" s="113">
        <f>SUMIFS(Model_Data!$P:$P,Model_Data!$B:$B,2021,Model_Data!$C:$C,A13)</f>
        <v>11250</v>
      </c>
      <c r="D13" s="114">
        <f>C13-B13</f>
        <v>-56.5</v>
      </c>
      <c r="E13" s="113">
        <f>Budget_Assumptions!J57</f>
        <v>7937.75</v>
      </c>
      <c r="F13" s="113">
        <f>SUMIFS(Model_Data!$AB:$AB,Model_Data!$B:$B,2021,Model_Data!$C:$C,A13)</f>
        <v>8327.7900000000009</v>
      </c>
      <c r="G13" s="114">
        <f>F13-E13</f>
        <v>390.04000000000087</v>
      </c>
      <c r="H13" s="113">
        <f>Budget_Assumptions!J59</f>
        <v>3368.75</v>
      </c>
      <c r="I13" s="113">
        <f>SUMIFS(Model_Data!$AC:$AC,Model_Data!$B:$B,2021,Model_Data!$C:$C,A13)</f>
        <v>2922.21</v>
      </c>
      <c r="J13" s="114">
        <f>I13-H13</f>
        <v>-446.53999999999996</v>
      </c>
      <c r="K13" s="56"/>
      <c r="L13" s="56"/>
      <c r="M13" s="56"/>
      <c r="N13" s="56"/>
    </row>
    <row r="14" spans="1:14" ht="15" customHeight="1">
      <c r="A14" s="56" t="s">
        <v>254</v>
      </c>
      <c r="B14" s="113">
        <f>Budget_Assumptions!K46</f>
        <v>11406.5</v>
      </c>
      <c r="C14" s="113">
        <f>SUMIFS(Model_Data!$P:$P,Model_Data!$B:$B,2021,Model_Data!$C:$C,A14)</f>
        <v>10962.5</v>
      </c>
      <c r="D14" s="114">
        <f>C14-B14</f>
        <v>-444</v>
      </c>
      <c r="E14" s="113">
        <f>Budget_Assumptions!K57</f>
        <v>7937.75</v>
      </c>
      <c r="F14" s="113">
        <f>SUMIFS(Model_Data!$AB:$AB,Model_Data!$B:$B,2021,Model_Data!$C:$C,A14)</f>
        <v>8564.1200000000008</v>
      </c>
      <c r="G14" s="114">
        <f>F14-E14</f>
        <v>626.3700000000008</v>
      </c>
      <c r="H14" s="113">
        <f>Budget_Assumptions!K59</f>
        <v>3468.75</v>
      </c>
      <c r="I14" s="113">
        <f>SUMIFS(Model_Data!$AC:$AC,Model_Data!$B:$B,2021,Model_Data!$C:$C,A14)</f>
        <v>2398.38</v>
      </c>
      <c r="J14" s="114">
        <f>I14-H14</f>
        <v>-1070.3699999999999</v>
      </c>
      <c r="K14" s="56"/>
      <c r="L14" s="56"/>
      <c r="M14" s="56"/>
      <c r="N14" s="56"/>
    </row>
    <row r="15" spans="1:14" ht="15" customHeight="1">
      <c r="A15" s="56" t="s">
        <v>245</v>
      </c>
      <c r="B15" s="113">
        <f>Budget_Assumptions!L46</f>
        <v>12170</v>
      </c>
      <c r="C15" s="113">
        <f>SUMIFS(Model_Data!$P:$P,Model_Data!$B:$B,2021,Model_Data!$C:$C,A15)</f>
        <v>12725</v>
      </c>
      <c r="D15" s="114">
        <f>C15-B15</f>
        <v>555</v>
      </c>
      <c r="E15" s="113">
        <f>Budget_Assumptions!L57</f>
        <v>7945</v>
      </c>
      <c r="F15" s="113">
        <f>SUMIFS(Model_Data!$AB:$AB,Model_Data!$B:$B,2021,Model_Data!$C:$C,A15)</f>
        <v>6388.37</v>
      </c>
      <c r="G15" s="114">
        <f>F15-E15</f>
        <v>-1556.63</v>
      </c>
      <c r="H15" s="113">
        <f>Budget_Assumptions!L59</f>
        <v>4225</v>
      </c>
      <c r="I15" s="113">
        <f>SUMIFS(Model_Data!$AC:$AC,Model_Data!$B:$B,2021,Model_Data!$C:$C,A15)</f>
        <v>6336.63</v>
      </c>
      <c r="J15" s="114">
        <f>I15-H15</f>
        <v>2111.63</v>
      </c>
      <c r="K15" s="56"/>
      <c r="L15" s="56"/>
      <c r="M15" s="56"/>
      <c r="N15" s="56"/>
    </row>
    <row r="16" spans="1:14" ht="15" customHeight="1">
      <c r="A16" s="56" t="s">
        <v>246</v>
      </c>
      <c r="B16" s="113">
        <f>Budget_Assumptions!M46</f>
        <v>12833.5</v>
      </c>
      <c r="C16" s="113">
        <f>SUMIFS(Model_Data!$P:$P,Model_Data!$B:$B,2021,Model_Data!$C:$C,A16)</f>
        <v>13297.87</v>
      </c>
      <c r="D16" s="114">
        <f>C16-B16</f>
        <v>464.3700000000008</v>
      </c>
      <c r="E16" s="113">
        <f>Budget_Assumptions!M57</f>
        <v>8052.25</v>
      </c>
      <c r="F16" s="113">
        <f>SUMIFS(Model_Data!$AB:$AB,Model_Data!$B:$B,2021,Model_Data!$C:$C,A16)</f>
        <v>9145.36</v>
      </c>
      <c r="G16" s="114">
        <f>F16-E16</f>
        <v>1093.1100000000006</v>
      </c>
      <c r="H16" s="113">
        <f>Budget_Assumptions!M59</f>
        <v>4781.25</v>
      </c>
      <c r="I16" s="113">
        <f>SUMIFS(Model_Data!$AC:$AC,Model_Data!$B:$B,2021,Model_Data!$C:$C,A16)</f>
        <v>4152.51</v>
      </c>
      <c r="J16" s="114">
        <f>I16-H16</f>
        <v>-628.73999999999978</v>
      </c>
      <c r="K16" s="56"/>
      <c r="L16" s="56"/>
      <c r="M16" s="56"/>
      <c r="N16" s="56"/>
    </row>
    <row r="17" spans="1:14" ht="15" customHeight="1">
      <c r="A17" s="115" t="s">
        <v>420</v>
      </c>
      <c r="B17" s="116">
        <f>SUM(B5:B16)</f>
        <v>117700</v>
      </c>
      <c r="C17" s="116">
        <f>SUM(C5:C16)</f>
        <v>120892.1</v>
      </c>
      <c r="D17" s="116">
        <f>SUM(D5:D16)</f>
        <v>3192.1000000000022</v>
      </c>
      <c r="E17" s="116">
        <f>SUM(E5:E16)</f>
        <v>88050</v>
      </c>
      <c r="F17" s="116">
        <f>SUM(F5:F16)</f>
        <v>88823.61</v>
      </c>
      <c r="G17" s="116">
        <f>SUM(G5:G16)</f>
        <v>773.61000000000058</v>
      </c>
      <c r="H17" s="116">
        <f>SUM(H5:H16)</f>
        <v>29650</v>
      </c>
      <c r="I17" s="116">
        <f>SUM(I5:I16)</f>
        <v>32068.489999999998</v>
      </c>
      <c r="J17" s="116">
        <f>SUM(J5:J16)</f>
        <v>2418.4900000000007</v>
      </c>
      <c r="K17" s="56"/>
      <c r="L17" s="56"/>
      <c r="M17" s="56"/>
      <c r="N17" s="56"/>
    </row>
    <row r="18" spans="1:14" ht="15" customHeight="1">
      <c r="A18" s="56"/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</row>
    <row r="19" spans="1:14" ht="15" customHeight="1">
      <c r="A19" s="56"/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</row>
    <row r="20" spans="1:14" ht="15" customHeight="1">
      <c r="A20" s="112" t="s">
        <v>421</v>
      </c>
      <c r="B20" s="112" t="s">
        <v>422</v>
      </c>
      <c r="C20" s="112" t="s">
        <v>423</v>
      </c>
      <c r="D20" s="112" t="s">
        <v>424</v>
      </c>
      <c r="E20" s="112" t="s">
        <v>425</v>
      </c>
      <c r="F20" s="112" t="s">
        <v>426</v>
      </c>
      <c r="G20" s="112" t="s">
        <v>241</v>
      </c>
      <c r="H20" s="112"/>
      <c r="I20" s="56"/>
      <c r="J20" s="56"/>
      <c r="K20" s="56"/>
      <c r="L20" s="56"/>
      <c r="M20" s="56"/>
      <c r="N20" s="56"/>
    </row>
    <row r="21" spans="1:14" ht="15" customHeight="1">
      <c r="A21" s="115" t="s">
        <v>427</v>
      </c>
      <c r="B21" s="116">
        <f>Budget_Assumptions!$D$9</f>
        <v>117700</v>
      </c>
      <c r="C21" s="116">
        <f>SUMIFS(Model_Data!$P:$P,Model_Data!$B:$B,2021)</f>
        <v>120892.1</v>
      </c>
      <c r="D21" s="117">
        <f>C21-B21</f>
        <v>3192.1000000000058</v>
      </c>
      <c r="E21" s="118">
        <f>IFERROR(D21/B21,0)</f>
        <v>2.7120645709430805E-2</v>
      </c>
      <c r="F21" s="118" t="str">
        <f>IF(D21&gt;=0,"Favorable","Unfavorable")</f>
        <v>Favorable</v>
      </c>
      <c r="G21" s="115" t="s">
        <v>428</v>
      </c>
      <c r="H21" s="115"/>
      <c r="I21" s="56"/>
      <c r="J21" s="56"/>
      <c r="K21" s="56"/>
      <c r="L21" s="56"/>
      <c r="M21" s="56"/>
      <c r="N21" s="56"/>
    </row>
    <row r="22" spans="1:14" ht="27.75" customHeight="1">
      <c r="A22" s="56" t="s">
        <v>429</v>
      </c>
      <c r="B22" s="113">
        <f>Budget_Assumptions!$D$10</f>
        <v>60000</v>
      </c>
      <c r="C22" s="113">
        <f>SUMIFS(Model_Data!$D:$D,Model_Data!$B:$B,2021)</f>
        <v>62811.869999999995</v>
      </c>
      <c r="D22" s="119">
        <f>C22-B22</f>
        <v>2811.8699999999953</v>
      </c>
      <c r="E22" s="120">
        <f>IFERROR(D22/B22,0)</f>
        <v>4.686449999999992E-2</v>
      </c>
      <c r="F22" s="120" t="str">
        <f>IF(D22&gt;=0,"Favorable","Unfavorable")</f>
        <v>Favorable</v>
      </c>
      <c r="G22" s="56" t="s">
        <v>430</v>
      </c>
      <c r="H22" s="56"/>
      <c r="I22" s="56"/>
      <c r="J22" s="56"/>
      <c r="K22" s="56"/>
      <c r="L22" s="56"/>
      <c r="M22" s="56"/>
      <c r="N22" s="56"/>
    </row>
    <row r="23" spans="1:14" ht="27.75" customHeight="1">
      <c r="A23" s="56" t="s">
        <v>431</v>
      </c>
      <c r="B23" s="113">
        <f>Budget_Assumptions!$D$11</f>
        <v>19200</v>
      </c>
      <c r="C23" s="113">
        <f>SUMIFS(Model_Data!$F:$F,Model_Data!$B:$B,2021)</f>
        <v>16656.25</v>
      </c>
      <c r="D23" s="119">
        <f>C23-B23</f>
        <v>-2543.75</v>
      </c>
      <c r="E23" s="120">
        <f>IFERROR(D23/B23,0)</f>
        <v>-0.13248697916666666</v>
      </c>
      <c r="F23" s="120" t="str">
        <f>IF(D23&gt;=0,"Favorable","Unfavorable")</f>
        <v>Unfavorable</v>
      </c>
      <c r="G23" s="56" t="s">
        <v>432</v>
      </c>
      <c r="H23" s="56"/>
      <c r="I23" s="56"/>
      <c r="J23" s="56"/>
      <c r="K23" s="56"/>
      <c r="L23" s="56"/>
      <c r="M23" s="56"/>
      <c r="N23" s="56"/>
    </row>
    <row r="24" spans="1:14" ht="15" customHeight="1">
      <c r="A24" s="56" t="s">
        <v>433</v>
      </c>
      <c r="B24" s="113">
        <f>Budget_Assumptions!$D$12</f>
        <v>28800</v>
      </c>
      <c r="C24" s="113">
        <f>SUMIFS(Model_Data!$E:$E,Model_Data!$B:$B,2021)</f>
        <v>30531.25</v>
      </c>
      <c r="D24" s="119">
        <f>C24-B24</f>
        <v>1731.25</v>
      </c>
      <c r="E24" s="120">
        <f>IFERROR(D24/B24,0)</f>
        <v>6.0112847222222224E-2</v>
      </c>
      <c r="F24" s="120" t="str">
        <f>IF(D24&gt;=0,"Favorable","Unfavorable")</f>
        <v>Favorable</v>
      </c>
      <c r="G24" s="56" t="s">
        <v>434</v>
      </c>
      <c r="H24" s="56"/>
      <c r="I24" s="56"/>
      <c r="J24" s="56"/>
      <c r="K24" s="56"/>
      <c r="L24" s="56"/>
      <c r="M24" s="56"/>
      <c r="N24" s="56"/>
    </row>
    <row r="25" spans="1:14" ht="15" customHeight="1">
      <c r="A25" s="56" t="s">
        <v>435</v>
      </c>
      <c r="B25" s="113">
        <f>Budget_Assumptions!$D$13</f>
        <v>5000</v>
      </c>
      <c r="C25" s="113">
        <f>SUMIFS(Model_Data!$H:$H,Model_Data!$B:$B,2021)</f>
        <v>5829.12</v>
      </c>
      <c r="D25" s="119">
        <f>C25-B25</f>
        <v>829.11999999999989</v>
      </c>
      <c r="E25" s="120">
        <f>IFERROR(D25/B25,0)</f>
        <v>0.16582399999999997</v>
      </c>
      <c r="F25" s="120" t="str">
        <f>IF(D25&gt;=0,"Favorable","Unfavorable")</f>
        <v>Favorable</v>
      </c>
      <c r="G25" s="56" t="s">
        <v>436</v>
      </c>
      <c r="H25" s="56"/>
      <c r="I25" s="56"/>
      <c r="J25" s="56"/>
      <c r="K25" s="56"/>
      <c r="L25" s="56"/>
      <c r="M25" s="56"/>
      <c r="N25" s="56"/>
    </row>
    <row r="26" spans="1:14" ht="27.75" customHeight="1">
      <c r="A26" s="56" t="s">
        <v>437</v>
      </c>
      <c r="B26" s="113">
        <f>Budget_Assumptions!$D$14</f>
        <v>3200</v>
      </c>
      <c r="C26" s="113">
        <f>SUMIFS(Model_Data!$K:$K,Model_Data!$B:$B,2021)+SUMIFS(Model_Data!$L:$L,Model_Data!$B:$B,2021)+SUMIFS(Model_Data!$M:$M,Model_Data!$B:$B,2021)</f>
        <v>2995</v>
      </c>
      <c r="D26" s="119">
        <f>C26-B26</f>
        <v>-205</v>
      </c>
      <c r="E26" s="120">
        <f>IFERROR(D26/B26,0)</f>
        <v>-6.4062499999999994E-2</v>
      </c>
      <c r="F26" s="120" t="str">
        <f>IF(D26&gt;=0,"Favorable","Unfavorable")</f>
        <v>Unfavorable</v>
      </c>
      <c r="G26" s="56" t="s">
        <v>438</v>
      </c>
      <c r="H26" s="56"/>
      <c r="I26" s="56"/>
      <c r="J26" s="56"/>
      <c r="K26" s="56"/>
      <c r="L26" s="56"/>
      <c r="M26" s="56"/>
      <c r="N26" s="56"/>
    </row>
    <row r="27" spans="1:14" ht="27.75" customHeight="1">
      <c r="A27" s="56" t="s">
        <v>439</v>
      </c>
      <c r="B27" s="113">
        <f>Budget_Assumptions!$D$15</f>
        <v>1500</v>
      </c>
      <c r="C27" s="113">
        <f>SUMIFS(Model_Data!$N:$N,Model_Data!$B:$B,2021)+SUMIFS(Model_Data!$O:$O,Model_Data!$B:$B,2021)</f>
        <v>2068.61</v>
      </c>
      <c r="D27" s="119">
        <f>C27-B27</f>
        <v>568.61000000000013</v>
      </c>
      <c r="E27" s="120">
        <f>IFERROR(D27/B27,0)</f>
        <v>0.37907333333333343</v>
      </c>
      <c r="F27" s="120" t="str">
        <f>IF(D27&gt;=0,"Favorable","Unfavorable")</f>
        <v>Favorable</v>
      </c>
      <c r="G27" s="56" t="s">
        <v>440</v>
      </c>
      <c r="H27" s="56"/>
      <c r="I27" s="56"/>
      <c r="J27" s="56"/>
      <c r="K27" s="56"/>
      <c r="L27" s="56"/>
      <c r="M27" s="56"/>
      <c r="N27" s="56"/>
    </row>
    <row r="28" spans="1:14" ht="15" customHeight="1">
      <c r="A28" s="115" t="s">
        <v>441</v>
      </c>
      <c r="B28" s="116">
        <f>Budget_Assumptions!$D$16</f>
        <v>88050</v>
      </c>
      <c r="C28" s="116">
        <f>SUMIFS(Model_Data!$AB:$AB,Model_Data!$B:$B,2021)</f>
        <v>88823.61</v>
      </c>
      <c r="D28" s="117">
        <f>C28-B28</f>
        <v>773.61000000000058</v>
      </c>
      <c r="E28" s="118">
        <f>IFERROR(D28/B28,0)</f>
        <v>8.786030664395237E-3</v>
      </c>
      <c r="F28" s="118" t="str">
        <f>IF(D28&lt;=0,"Favorable","Unfavorable")</f>
        <v>Unfavorable</v>
      </c>
      <c r="G28" s="115" t="s">
        <v>442</v>
      </c>
      <c r="H28" s="115"/>
      <c r="I28" s="56"/>
      <c r="J28" s="56"/>
      <c r="K28" s="56"/>
      <c r="L28" s="56"/>
      <c r="M28" s="56"/>
      <c r="N28" s="56"/>
    </row>
    <row r="29" spans="1:14" ht="27.75" customHeight="1">
      <c r="A29" s="56" t="s">
        <v>200</v>
      </c>
      <c r="B29" s="113">
        <f>Budget_Assumptions!$D$17</f>
        <v>53400</v>
      </c>
      <c r="C29" s="113">
        <f>SUMIFS(Model_Data!$R:$R,Model_Data!$B:$B,2021)</f>
        <v>53421.75</v>
      </c>
      <c r="D29" s="119">
        <f>C29-B29</f>
        <v>21.75</v>
      </c>
      <c r="E29" s="120">
        <f>IFERROR(D29/B29,0)</f>
        <v>4.0730337078651686E-4</v>
      </c>
      <c r="F29" s="120" t="str">
        <f>IF(D29&lt;=0,"Favorable","Unfavorable")</f>
        <v>Unfavorable</v>
      </c>
      <c r="G29" s="56" t="s">
        <v>443</v>
      </c>
      <c r="H29" s="56"/>
      <c r="I29" s="56"/>
      <c r="J29" s="56"/>
      <c r="K29" s="56"/>
      <c r="L29" s="56"/>
      <c r="M29" s="56"/>
      <c r="N29" s="56"/>
    </row>
    <row r="30" spans="1:14" ht="15" customHeight="1">
      <c r="A30" s="56" t="s">
        <v>198</v>
      </c>
      <c r="B30" s="113">
        <f>Budget_Assumptions!$D$18</f>
        <v>19000</v>
      </c>
      <c r="C30" s="113">
        <f>SUMIFS(Model_Data!$Q:$Q,Model_Data!$B:$B,2021)</f>
        <v>19335.63</v>
      </c>
      <c r="D30" s="119">
        <f>C30-B30</f>
        <v>335.63000000000102</v>
      </c>
      <c r="E30" s="120">
        <f>IFERROR(D30/B30,0)</f>
        <v>1.7664736842105316E-2</v>
      </c>
      <c r="F30" s="120" t="str">
        <f>IF(D30&lt;=0,"Favorable","Unfavorable")</f>
        <v>Unfavorable</v>
      </c>
      <c r="G30" s="56" t="s">
        <v>444</v>
      </c>
      <c r="H30" s="56"/>
      <c r="I30" s="56"/>
      <c r="J30" s="56"/>
      <c r="K30" s="56"/>
      <c r="L30" s="56"/>
      <c r="M30" s="56"/>
      <c r="N30" s="56"/>
    </row>
    <row r="31" spans="1:14" ht="15" customHeight="1">
      <c r="A31" s="56" t="s">
        <v>202</v>
      </c>
      <c r="B31" s="113">
        <f>Budget_Assumptions!$D$19</f>
        <v>5400</v>
      </c>
      <c r="C31" s="113">
        <f>SUMIFS(Model_Data!$S:$S,Model_Data!$B:$B,2021)</f>
        <v>5837.26</v>
      </c>
      <c r="D31" s="119">
        <f>C31-B31</f>
        <v>437.26000000000022</v>
      </c>
      <c r="E31" s="120">
        <f>IFERROR(D31/B31,0)</f>
        <v>8.0974074074074115E-2</v>
      </c>
      <c r="F31" s="120" t="str">
        <f>IF(D31&lt;=0,"Favorable","Unfavorable")</f>
        <v>Unfavorable</v>
      </c>
      <c r="G31" s="56" t="s">
        <v>445</v>
      </c>
      <c r="H31" s="56"/>
      <c r="I31" s="56"/>
      <c r="J31" s="56"/>
      <c r="K31" s="56"/>
      <c r="L31" s="56"/>
      <c r="M31" s="56"/>
      <c r="N31" s="56"/>
    </row>
    <row r="32" spans="1:14" ht="15" customHeight="1">
      <c r="A32" s="56" t="s">
        <v>150</v>
      </c>
      <c r="B32" s="113">
        <f>Budget_Assumptions!$D$20</f>
        <v>3600</v>
      </c>
      <c r="C32" s="113">
        <f>SUMIFS(Model_Data!$T:$T,Model_Data!$B:$B,2021)</f>
        <v>3110.75</v>
      </c>
      <c r="D32" s="119">
        <f>C32-B32</f>
        <v>-489.25</v>
      </c>
      <c r="E32" s="120">
        <f>IFERROR(D32/B32,0)</f>
        <v>-0.13590277777777779</v>
      </c>
      <c r="F32" s="120" t="str">
        <f>IF(D32&lt;=0,"Favorable","Unfavorable")</f>
        <v>Favorable</v>
      </c>
      <c r="G32" s="56" t="s">
        <v>446</v>
      </c>
      <c r="H32" s="56"/>
      <c r="I32" s="56"/>
      <c r="J32" s="56"/>
      <c r="K32" s="56"/>
      <c r="L32" s="56"/>
      <c r="M32" s="56"/>
      <c r="N32" s="56"/>
    </row>
    <row r="33" spans="1:14" ht="27.75" customHeight="1">
      <c r="A33" s="56" t="s">
        <v>352</v>
      </c>
      <c r="B33" s="113">
        <f>Budget_Assumptions!$D$21</f>
        <v>1100</v>
      </c>
      <c r="C33" s="113">
        <f>SUMIFS(Model_Data!$U:$U,Model_Data!$B:$B,2021)</f>
        <v>1132.8600000000001</v>
      </c>
      <c r="D33" s="119">
        <f>C33-B33</f>
        <v>32.860000000000127</v>
      </c>
      <c r="E33" s="120">
        <f>IFERROR(D33/B33,0)</f>
        <v>2.9872727272727388E-2</v>
      </c>
      <c r="F33" s="120" t="str">
        <f>IF(D33&lt;=0,"Favorable","Unfavorable")</f>
        <v>Unfavorable</v>
      </c>
      <c r="G33" s="56" t="s">
        <v>447</v>
      </c>
      <c r="H33" s="56"/>
      <c r="I33" s="56"/>
      <c r="J33" s="56"/>
      <c r="K33" s="56"/>
      <c r="L33" s="56"/>
      <c r="M33" s="56"/>
      <c r="N33" s="56"/>
    </row>
    <row r="34" spans="1:14" ht="15" customHeight="1">
      <c r="A34" s="56" t="s">
        <v>448</v>
      </c>
      <c r="B34" s="113">
        <f>Budget_Assumptions!$D$22</f>
        <v>1350</v>
      </c>
      <c r="C34" s="113">
        <f>SUMIFS(Model_Data!$X:$X,Model_Data!$B:$B,2021)+SUMIFS(Model_Data!$Y:$Y,Model_Data!$B:$B,2021)</f>
        <v>1880.12</v>
      </c>
      <c r="D34" s="119">
        <f>C34-B34</f>
        <v>530.11999999999989</v>
      </c>
      <c r="E34" s="120">
        <f>IFERROR(D34/B34,0)</f>
        <v>0.39268148148148141</v>
      </c>
      <c r="F34" s="120" t="str">
        <f>IF(D34&lt;=0,"Favorable","Unfavorable")</f>
        <v>Unfavorable</v>
      </c>
      <c r="G34" s="56" t="s">
        <v>449</v>
      </c>
      <c r="H34" s="56"/>
      <c r="I34" s="56"/>
      <c r="J34" s="56"/>
      <c r="K34" s="56"/>
      <c r="L34" s="56"/>
      <c r="M34" s="56"/>
      <c r="N34" s="56"/>
    </row>
    <row r="35" spans="1:14" ht="27.75" customHeight="1">
      <c r="A35" s="56" t="s">
        <v>354</v>
      </c>
      <c r="B35" s="113">
        <f>Budget_Assumptions!$D$23</f>
        <v>900</v>
      </c>
      <c r="C35" s="113">
        <f>SUMIFS(Model_Data!$V:$V,Model_Data!$B:$B,2021)+SUMIFS(Model_Data!$W:$W,Model_Data!$B:$B,2021)</f>
        <v>603.5</v>
      </c>
      <c r="D35" s="119">
        <f>C35-B35</f>
        <v>-296.5</v>
      </c>
      <c r="E35" s="120">
        <f>IFERROR(D35/B35,0)</f>
        <v>-0.32944444444444443</v>
      </c>
      <c r="F35" s="120" t="str">
        <f>IF(D35&lt;=0,"Favorable","Unfavorable")</f>
        <v>Favorable</v>
      </c>
      <c r="G35" s="56" t="s">
        <v>450</v>
      </c>
      <c r="H35" s="56"/>
      <c r="I35" s="56"/>
      <c r="J35" s="56"/>
      <c r="K35" s="56"/>
      <c r="L35" s="56"/>
      <c r="M35" s="56"/>
      <c r="N35" s="56"/>
    </row>
    <row r="36" spans="1:14" ht="27.75" customHeight="1">
      <c r="A36" s="56" t="s">
        <v>356</v>
      </c>
      <c r="B36" s="113">
        <f>Budget_Assumptions!$D$24</f>
        <v>900</v>
      </c>
      <c r="C36" s="113">
        <f>SUMIFS(Model_Data!$Z:$Z,Model_Data!$B:$B,2021)</f>
        <v>917.74</v>
      </c>
      <c r="D36" s="119">
        <f>C36-B36</f>
        <v>17.740000000000009</v>
      </c>
      <c r="E36" s="120">
        <f>IFERROR(D36/B36,0)</f>
        <v>1.971111111111112E-2</v>
      </c>
      <c r="F36" s="120" t="str">
        <f>IF(D36&lt;=0,"Favorable","Unfavorable")</f>
        <v>Unfavorable</v>
      </c>
      <c r="G36" s="56" t="s">
        <v>451</v>
      </c>
      <c r="H36" s="56"/>
      <c r="I36" s="56"/>
      <c r="J36" s="56"/>
      <c r="K36" s="56"/>
      <c r="L36" s="56"/>
      <c r="M36" s="56"/>
      <c r="N36" s="56"/>
    </row>
    <row r="37" spans="1:14" ht="15" customHeight="1">
      <c r="A37" s="56" t="s">
        <v>357</v>
      </c>
      <c r="B37" s="113">
        <f>Budget_Assumptions!$D$25</f>
        <v>2400</v>
      </c>
      <c r="C37" s="113">
        <f>SUMIFS(Model_Data!$AA:$AA,Model_Data!$B:$B,2021)</f>
        <v>2584</v>
      </c>
      <c r="D37" s="119">
        <f>C37-B37</f>
        <v>184</v>
      </c>
      <c r="E37" s="120">
        <f>IFERROR(D37/B37,0)</f>
        <v>7.6666666666666661E-2</v>
      </c>
      <c r="F37" s="120" t="str">
        <f>IF(D37&lt;=0,"Favorable","Unfavorable")</f>
        <v>Unfavorable</v>
      </c>
      <c r="G37" s="56" t="s">
        <v>452</v>
      </c>
      <c r="H37" s="56"/>
      <c r="I37" s="56"/>
      <c r="J37" s="56"/>
      <c r="K37" s="56"/>
      <c r="L37" s="56"/>
      <c r="M37" s="56"/>
      <c r="N37" s="56"/>
    </row>
    <row r="38" spans="1:14" ht="27.75" customHeight="1">
      <c r="A38" s="115" t="s">
        <v>193</v>
      </c>
      <c r="B38" s="116">
        <f>Budget_Assumptions!$D$26</f>
        <v>29650</v>
      </c>
      <c r="C38" s="116">
        <f>SUMIFS(Model_Data!$AC:$AC,Model_Data!$B:$B,2021)</f>
        <v>32068.489999999998</v>
      </c>
      <c r="D38" s="117">
        <f>C38-B38</f>
        <v>2418.489999999998</v>
      </c>
      <c r="E38" s="118">
        <f>IFERROR(D38/B38,0)</f>
        <v>8.1567959527824557E-2</v>
      </c>
      <c r="F38" s="118" t="str">
        <f>IF(D38&gt;=0,"Favorable","Unfavorable")</f>
        <v>Favorable</v>
      </c>
      <c r="G38" s="115" t="s">
        <v>453</v>
      </c>
      <c r="H38" s="115"/>
      <c r="I38" s="56"/>
      <c r="J38" s="56"/>
      <c r="K38" s="56"/>
      <c r="L38" s="56"/>
      <c r="M38" s="56"/>
      <c r="N38" s="56"/>
    </row>
    <row r="39" spans="1:14" ht="15" customHeight="1">
      <c r="A39" s="56"/>
      <c r="B39" s="56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</row>
    <row r="40" spans="1:14" ht="15" customHeight="1">
      <c r="A40" s="56"/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</row>
    <row r="41" spans="1:14" ht="15" customHeight="1">
      <c r="A41" s="56"/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</row>
    <row r="42" spans="1:14" ht="15" customHeight="1">
      <c r="A42" s="56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</row>
    <row r="43" spans="1:14" ht="15" customHeight="1">
      <c r="A43" s="56"/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</row>
    <row r="44" spans="1:14" ht="15" customHeight="1">
      <c r="A44" s="56"/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</row>
    <row r="45" spans="1:14" ht="15" customHeight="1">
      <c r="A45" s="56"/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</row>
    <row r="46" spans="1:14" ht="15" customHeight="1">
      <c r="A46" s="56"/>
      <c r="B46" s="56"/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</row>
    <row r="47" spans="1:14" ht="15" customHeight="1">
      <c r="A47" s="56"/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</row>
    <row r="48" spans="1:14" ht="15" customHeight="1">
      <c r="A48" s="56"/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</row>
    <row r="49" spans="1:14" ht="15" customHeight="1">
      <c r="A49" s="56"/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</row>
    <row r="50" spans="1:14" ht="15" customHeight="1">
      <c r="A50" s="56"/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</row>
    <row r="51" spans="1:14" ht="15" customHeight="1">
      <c r="A51" s="56"/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</row>
    <row r="52" spans="1:14" ht="15" customHeight="1">
      <c r="A52" s="56"/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</row>
    <row r="53" spans="1:14" ht="15" customHeight="1">
      <c r="A53" s="56"/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</row>
    <row r="54" spans="1:14" ht="15" customHeight="1">
      <c r="A54" s="56"/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</row>
    <row r="55" spans="1:14" ht="15" customHeight="1">
      <c r="A55" s="56"/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</row>
    <row r="56" spans="1:14" ht="15" customHeight="1">
      <c r="A56" s="56"/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</row>
    <row r="57" spans="1:14" ht="15" customHeight="1">
      <c r="A57" s="56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</row>
    <row r="58" spans="1:14" ht="15" customHeight="1">
      <c r="A58" s="56"/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</row>
    <row r="59" spans="1:14" ht="15" customHeight="1">
      <c r="A59" s="56"/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</row>
    <row r="60" spans="1:14" ht="15" customHeight="1">
      <c r="A60" s="56"/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</row>
    <row r="61" spans="1:14" ht="15" customHeight="1">
      <c r="A61" s="56"/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</row>
    <row r="62" spans="1:14" ht="15" customHeight="1">
      <c r="A62" s="56"/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</row>
    <row r="63" spans="1:14" ht="15" customHeight="1">
      <c r="A63" s="56"/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</row>
    <row r="64" spans="1:14" ht="15" customHeight="1">
      <c r="A64" s="56"/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</row>
    <row r="65" spans="1:14" ht="15" customHeight="1">
      <c r="A65" s="56"/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</row>
    <row r="66" spans="1:14" ht="15" customHeight="1">
      <c r="A66" s="56"/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</row>
    <row r="67" spans="1:14" ht="15" customHeight="1">
      <c r="A67" s="56"/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</row>
    <row r="68" spans="1:14" ht="15" customHeight="1">
      <c r="A68" s="56"/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</row>
    <row r="69" spans="1:14" ht="15" customHeight="1">
      <c r="A69" s="56"/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</row>
    <row r="70" spans="1:14" ht="15" customHeight="1">
      <c r="A70" s="56"/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</row>
    <row r="71" spans="1:14" ht="15" customHeight="1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</row>
    <row r="72" spans="1:14" ht="15" customHeight="1">
      <c r="A72" s="56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</row>
    <row r="73" spans="1:14" ht="15" customHeight="1">
      <c r="A73" s="56"/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</row>
    <row r="74" spans="1:14" ht="15" customHeight="1">
      <c r="A74" s="56"/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</row>
    <row r="75" spans="1:14" ht="15" customHeight="1">
      <c r="A75" s="56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</row>
    <row r="76" spans="1:14" ht="15" customHeight="1">
      <c r="A76" s="56"/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</row>
    <row r="77" spans="1:14" ht="15" customHeight="1">
      <c r="A77" s="56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</row>
    <row r="78" spans="1:14" ht="15" customHeight="1">
      <c r="A78" s="56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</row>
    <row r="79" spans="1:14" ht="15" customHeight="1">
      <c r="A79" s="56"/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</row>
    <row r="80" spans="1:14" ht="15" customHeight="1">
      <c r="A80" s="56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</row>
  </sheetData>
  <mergeCells count="2">
    <mergeCell ref="A1:J1"/>
    <mergeCell ref="A2:J2"/>
  </mergeCells>
  <conditionalFormatting sqref="D21:D27">
    <cfRule type="cellIs" dxfId="5" priority="2" operator="greaterThan">
      <formula>0</formula>
    </cfRule>
    <cfRule type="cellIs" dxfId="4" priority="3" operator="lessThan">
      <formula>0</formula>
    </cfRule>
  </conditionalFormatting>
  <conditionalFormatting sqref="D38">
    <cfRule type="cellIs" dxfId="3" priority="4" operator="greaterThan">
      <formula>0</formula>
    </cfRule>
    <cfRule type="cellIs" dxfId="2" priority="5" operator="lessThan">
      <formula>0</formula>
    </cfRule>
  </conditionalFormatting>
  <conditionalFormatting sqref="D28:D37">
    <cfRule type="cellIs" dxfId="1" priority="6" operator="greaterThan">
      <formula>0</formula>
    </cfRule>
    <cfRule type="cellIs" dxfId="0" priority="7" operator="lessThan">
      <formula>0</formula>
    </cfRule>
  </conditionalFormatting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80"/>
  <sheetViews>
    <sheetView topLeftCell="A9" zoomScaleNormal="100" workbookViewId="0">
      <selection activeCell="A24" sqref="A24:D24"/>
    </sheetView>
  </sheetViews>
  <sheetFormatPr defaultColWidth="8.7109375" defaultRowHeight="15"/>
  <cols>
    <col min="1" max="1" width="24" style="13" customWidth="1"/>
    <col min="2" max="2" width="18" style="13" customWidth="1"/>
    <col min="3" max="3" width="23.85546875" style="13" customWidth="1"/>
    <col min="4" max="4" width="58" style="13" customWidth="1"/>
  </cols>
  <sheetData>
    <row r="1" spans="1:14" ht="24" customHeight="1">
      <c r="A1" s="253" t="s">
        <v>454</v>
      </c>
      <c r="B1" s="253"/>
      <c r="C1" s="253"/>
      <c r="D1" s="253"/>
      <c r="E1" s="304"/>
      <c r="F1" s="304"/>
      <c r="G1" s="304"/>
      <c r="H1" s="56"/>
      <c r="I1" s="56"/>
      <c r="J1" s="56"/>
      <c r="K1" s="56"/>
      <c r="L1" s="56"/>
      <c r="M1" s="56"/>
      <c r="N1" s="56"/>
    </row>
    <row r="2" spans="1:14" ht="19.5" customHeight="1">
      <c r="A2" s="254" t="s">
        <v>455</v>
      </c>
      <c r="B2" s="254"/>
      <c r="C2" s="254"/>
      <c r="D2" s="254"/>
      <c r="E2" s="305"/>
      <c r="F2" s="305"/>
      <c r="G2" s="305"/>
      <c r="H2" s="56"/>
      <c r="I2" s="56"/>
      <c r="J2" s="56"/>
      <c r="K2" s="56"/>
      <c r="L2" s="56"/>
      <c r="M2" s="56"/>
      <c r="N2" s="56"/>
    </row>
    <row r="3" spans="1:14" ht="15" customHeight="1">
      <c r="A3" s="56"/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</row>
    <row r="4" spans="1:14">
      <c r="A4" s="112" t="s">
        <v>456</v>
      </c>
      <c r="B4" s="112" t="s">
        <v>457</v>
      </c>
      <c r="C4" s="112" t="s">
        <v>241</v>
      </c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</row>
    <row r="5" spans="1:14" ht="39" customHeight="1">
      <c r="A5" s="56" t="s">
        <v>192</v>
      </c>
      <c r="B5" s="113">
        <f>Budget_vs_Actual!D17</f>
        <v>3192.1000000000022</v>
      </c>
      <c r="C5" s="56" t="s">
        <v>458</v>
      </c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</row>
    <row r="6" spans="1:14" ht="44.25" customHeight="1">
      <c r="A6" s="56" t="s">
        <v>459</v>
      </c>
      <c r="B6" s="113">
        <f>Budget_vs_Actual!G17</f>
        <v>773.61000000000058</v>
      </c>
      <c r="C6" s="56" t="s">
        <v>460</v>
      </c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</row>
    <row r="7" spans="1:14" ht="59.25" customHeight="1">
      <c r="A7" s="56" t="s">
        <v>461</v>
      </c>
      <c r="B7" s="113">
        <f>Budget_vs_Actual!J17</f>
        <v>2418.4900000000007</v>
      </c>
      <c r="C7" s="56" t="s">
        <v>462</v>
      </c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</row>
    <row r="8" spans="1:14" ht="70.5" customHeight="1">
      <c r="A8" s="56" t="s">
        <v>463</v>
      </c>
      <c r="B8" s="113" t="s">
        <v>464</v>
      </c>
      <c r="C8" s="56" t="s">
        <v>465</v>
      </c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</row>
    <row r="9" spans="1:14" ht="15" customHeight="1">
      <c r="A9" s="56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</row>
    <row r="10" spans="1:14" ht="15" customHeight="1">
      <c r="A10" s="56"/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</row>
    <row r="11" spans="1:14" ht="15" customHeight="1">
      <c r="A11" s="112" t="s">
        <v>466</v>
      </c>
      <c r="B11" s="112" t="s">
        <v>467</v>
      </c>
      <c r="C11" s="112" t="s">
        <v>468</v>
      </c>
      <c r="D11" s="112" t="s">
        <v>469</v>
      </c>
      <c r="E11" s="56"/>
      <c r="F11" s="56"/>
      <c r="G11" s="56"/>
      <c r="H11" s="56"/>
      <c r="I11" s="56"/>
      <c r="J11" s="56"/>
      <c r="K11" s="56"/>
      <c r="L11" s="56"/>
      <c r="M11" s="56"/>
      <c r="N11" s="56"/>
    </row>
    <row r="12" spans="1:14" ht="15" customHeight="1">
      <c r="A12" s="56" t="s">
        <v>120</v>
      </c>
      <c r="B12" s="113">
        <f>Budget_vs_Actual!D22</f>
        <v>2811.8699999999953</v>
      </c>
      <c r="C12" s="56" t="s">
        <v>470</v>
      </c>
      <c r="D12" s="56" t="s">
        <v>471</v>
      </c>
      <c r="E12" s="56"/>
      <c r="F12" s="56"/>
      <c r="G12" s="56"/>
      <c r="H12" s="56"/>
      <c r="I12" s="56"/>
      <c r="J12" s="56"/>
      <c r="K12" s="56"/>
      <c r="L12" s="56"/>
      <c r="M12" s="56"/>
      <c r="N12" s="56"/>
    </row>
    <row r="13" spans="1:14" ht="15" customHeight="1">
      <c r="A13" s="56" t="s">
        <v>128</v>
      </c>
      <c r="B13" s="113">
        <f>Budget_vs_Actual!D24</f>
        <v>1731.25</v>
      </c>
      <c r="C13" s="56" t="s">
        <v>470</v>
      </c>
      <c r="D13" s="56" t="s">
        <v>472</v>
      </c>
      <c r="E13" s="56"/>
      <c r="F13" s="56"/>
      <c r="G13" s="56"/>
      <c r="H13" s="56"/>
      <c r="I13" s="56"/>
      <c r="J13" s="56"/>
      <c r="K13" s="56"/>
      <c r="L13" s="56"/>
      <c r="M13" s="56"/>
      <c r="N13" s="56"/>
    </row>
    <row r="14" spans="1:14" ht="27.75" customHeight="1">
      <c r="A14" s="56" t="s">
        <v>124</v>
      </c>
      <c r="B14" s="113">
        <f>Budget_vs_Actual!D23</f>
        <v>-2543.75</v>
      </c>
      <c r="C14" s="56" t="s">
        <v>473</v>
      </c>
      <c r="D14" s="56" t="s">
        <v>474</v>
      </c>
      <c r="E14" s="56"/>
      <c r="F14" s="56"/>
      <c r="G14" s="56"/>
      <c r="H14" s="56"/>
      <c r="I14" s="56"/>
      <c r="J14" s="56"/>
      <c r="K14" s="56"/>
      <c r="L14" s="56"/>
      <c r="M14" s="56"/>
      <c r="N14" s="56"/>
    </row>
    <row r="15" spans="1:14" ht="15" customHeight="1">
      <c r="A15" s="56" t="s">
        <v>133</v>
      </c>
      <c r="B15" s="113">
        <f>Budget_vs_Actual!D25</f>
        <v>829.11999999999989</v>
      </c>
      <c r="C15" s="56" t="s">
        <v>470</v>
      </c>
      <c r="D15" s="56" t="s">
        <v>475</v>
      </c>
      <c r="E15" s="56"/>
      <c r="F15" s="56"/>
      <c r="G15" s="56"/>
      <c r="H15" s="56"/>
      <c r="I15" s="56"/>
      <c r="J15" s="56"/>
      <c r="K15" s="56"/>
      <c r="L15" s="56"/>
      <c r="M15" s="56"/>
      <c r="N15" s="56"/>
    </row>
    <row r="16" spans="1:14" ht="27.75" customHeight="1">
      <c r="A16" s="56" t="s">
        <v>200</v>
      </c>
      <c r="B16" s="113">
        <f>Budget_vs_Actual!D29</f>
        <v>21.75</v>
      </c>
      <c r="C16" s="56" t="s">
        <v>476</v>
      </c>
      <c r="D16" s="56" t="s">
        <v>477</v>
      </c>
      <c r="E16" s="56"/>
      <c r="F16" s="56"/>
      <c r="G16" s="56"/>
      <c r="H16" s="56"/>
      <c r="I16" s="56"/>
      <c r="J16" s="56"/>
      <c r="K16" s="56"/>
      <c r="L16" s="56"/>
      <c r="M16" s="56"/>
      <c r="N16" s="56"/>
    </row>
    <row r="17" spans="1:14" ht="18" customHeight="1">
      <c r="A17" s="56" t="s">
        <v>202</v>
      </c>
      <c r="B17" s="113">
        <f>Budget_vs_Actual!D31</f>
        <v>437.26000000000022</v>
      </c>
      <c r="C17" s="56" t="s">
        <v>478</v>
      </c>
      <c r="D17" s="56" t="s">
        <v>479</v>
      </c>
      <c r="E17" s="56"/>
      <c r="F17" s="56"/>
      <c r="G17" s="56"/>
      <c r="H17" s="56"/>
      <c r="I17" s="56"/>
      <c r="J17" s="56"/>
      <c r="K17" s="56"/>
      <c r="L17" s="56"/>
      <c r="M17" s="56"/>
      <c r="N17" s="56"/>
    </row>
    <row r="18" spans="1:14" ht="27.75" customHeight="1">
      <c r="A18" s="56" t="s">
        <v>461</v>
      </c>
      <c r="B18" s="113">
        <f>Budget_vs_Actual!D38</f>
        <v>2418.489999999998</v>
      </c>
      <c r="C18" s="56" t="s">
        <v>480</v>
      </c>
      <c r="D18" s="56" t="s">
        <v>481</v>
      </c>
      <c r="E18" s="56"/>
      <c r="F18" s="56"/>
      <c r="G18" s="56"/>
      <c r="H18" s="56"/>
      <c r="I18" s="56"/>
      <c r="J18" s="56"/>
      <c r="K18" s="56"/>
      <c r="L18" s="56"/>
      <c r="M18" s="56"/>
      <c r="N18" s="56"/>
    </row>
    <row r="19" spans="1:14" ht="15" customHeight="1">
      <c r="A19" s="56"/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</row>
    <row r="20" spans="1:14" ht="15" customHeight="1">
      <c r="A20" s="56"/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</row>
    <row r="21" spans="1:14" ht="15" customHeight="1">
      <c r="A21" s="56"/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</row>
    <row r="22" spans="1:14" ht="15" customHeight="1">
      <c r="A22" s="283" t="s">
        <v>482</v>
      </c>
      <c r="B22" s="283"/>
      <c r="C22" s="283"/>
      <c r="D22" s="283"/>
      <c r="E22" s="56"/>
      <c r="F22" s="56"/>
      <c r="G22" s="56"/>
      <c r="H22" s="56"/>
      <c r="I22" s="56"/>
      <c r="J22" s="56"/>
      <c r="K22" s="56"/>
      <c r="L22" s="56"/>
      <c r="M22" s="56"/>
      <c r="N22" s="56"/>
    </row>
    <row r="23" spans="1:14" ht="27.75" customHeight="1">
      <c r="A23" s="284" t="s">
        <v>483</v>
      </c>
      <c r="B23" s="284"/>
      <c r="C23" s="284"/>
      <c r="D23" s="284"/>
      <c r="E23" s="56"/>
      <c r="F23" s="56"/>
      <c r="G23" s="56"/>
      <c r="H23" s="56"/>
      <c r="I23" s="56"/>
      <c r="J23" s="56"/>
      <c r="K23" s="56"/>
      <c r="L23" s="56"/>
      <c r="M23" s="56"/>
      <c r="N23" s="56"/>
    </row>
    <row r="24" spans="1:14" ht="15" customHeight="1">
      <c r="A24" s="284" t="s">
        <v>484</v>
      </c>
      <c r="B24" s="284"/>
      <c r="C24" s="284"/>
      <c r="D24" s="284"/>
      <c r="E24" s="56"/>
      <c r="F24" s="56"/>
      <c r="G24" s="56"/>
      <c r="H24" s="56"/>
      <c r="I24" s="56"/>
      <c r="J24" s="56"/>
      <c r="K24" s="56"/>
      <c r="L24" s="56"/>
      <c r="M24" s="56"/>
      <c r="N24" s="56"/>
    </row>
    <row r="25" spans="1:14" ht="15" customHeight="1">
      <c r="A25" s="56"/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</row>
    <row r="26" spans="1:14" ht="15" customHeight="1">
      <c r="A26" s="56"/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</row>
    <row r="27" spans="1:14" ht="15" customHeight="1">
      <c r="A27" s="56"/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</row>
    <row r="28" spans="1:14" ht="15" customHeight="1">
      <c r="A28" s="56"/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</row>
    <row r="29" spans="1:14" ht="15" customHeight="1">
      <c r="A29" s="56"/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</row>
    <row r="30" spans="1:14" ht="15" customHeight="1">
      <c r="A30" s="56"/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</row>
    <row r="31" spans="1:14" ht="15" customHeight="1">
      <c r="A31" s="56"/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</row>
    <row r="32" spans="1:14" ht="15" customHeight="1">
      <c r="A32" s="56"/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</row>
    <row r="33" spans="1:14" ht="15" customHeight="1">
      <c r="A33" s="56"/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</row>
    <row r="34" spans="1:14" ht="15" customHeight="1">
      <c r="A34" s="56"/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</row>
    <row r="35" spans="1:14" ht="15" customHeight="1">
      <c r="A35" s="56"/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</row>
    <row r="36" spans="1:14" ht="15" customHeight="1">
      <c r="A36" s="56"/>
      <c r="B36" s="56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</row>
    <row r="37" spans="1:14" ht="15" customHeight="1">
      <c r="A37" s="56"/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</row>
    <row r="38" spans="1:14" ht="15" customHeight="1">
      <c r="A38" s="56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</row>
    <row r="39" spans="1:14" ht="15" customHeight="1">
      <c r="A39" s="56"/>
      <c r="B39" s="56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</row>
    <row r="40" spans="1:14" ht="15" customHeight="1">
      <c r="A40" s="56"/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</row>
    <row r="41" spans="1:14" ht="15" customHeight="1">
      <c r="A41" s="56"/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</row>
    <row r="42" spans="1:14" ht="15" customHeight="1">
      <c r="A42" s="56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</row>
    <row r="43" spans="1:14" ht="15" customHeight="1">
      <c r="A43" s="56"/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</row>
    <row r="44" spans="1:14" ht="15" customHeight="1">
      <c r="A44" s="56"/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</row>
    <row r="45" spans="1:14" ht="15" customHeight="1">
      <c r="A45" s="56"/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</row>
    <row r="46" spans="1:14" ht="15" customHeight="1">
      <c r="A46" s="56"/>
      <c r="B46" s="56"/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</row>
    <row r="47" spans="1:14" ht="15" customHeight="1">
      <c r="A47" s="56"/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</row>
    <row r="48" spans="1:14" ht="15" customHeight="1">
      <c r="A48" s="56"/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</row>
    <row r="49" spans="1:14" ht="15" customHeight="1">
      <c r="A49" s="56"/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</row>
    <row r="50" spans="1:14" ht="15" customHeight="1">
      <c r="A50" s="56"/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</row>
    <row r="51" spans="1:14" ht="15" customHeight="1">
      <c r="A51" s="56"/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</row>
    <row r="52" spans="1:14" ht="15" customHeight="1">
      <c r="A52" s="56"/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</row>
    <row r="53" spans="1:14" ht="15" customHeight="1">
      <c r="A53" s="56"/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</row>
    <row r="54" spans="1:14" ht="15" customHeight="1">
      <c r="A54" s="56"/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</row>
    <row r="55" spans="1:14" ht="15" customHeight="1">
      <c r="A55" s="56"/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</row>
    <row r="56" spans="1:14" ht="15" customHeight="1">
      <c r="A56" s="56"/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</row>
    <row r="57" spans="1:14" ht="15" customHeight="1">
      <c r="A57" s="56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</row>
    <row r="58" spans="1:14" ht="15" customHeight="1">
      <c r="A58" s="56"/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</row>
    <row r="59" spans="1:14" ht="15" customHeight="1">
      <c r="A59" s="56"/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</row>
    <row r="60" spans="1:14" ht="15" customHeight="1">
      <c r="A60" s="56"/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</row>
    <row r="61" spans="1:14" ht="15" customHeight="1">
      <c r="A61" s="56"/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</row>
    <row r="62" spans="1:14" ht="15" customHeight="1">
      <c r="A62" s="56"/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</row>
    <row r="63" spans="1:14" ht="15" customHeight="1">
      <c r="A63" s="56"/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</row>
    <row r="64" spans="1:14" ht="15" customHeight="1">
      <c r="A64" s="56"/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</row>
    <row r="65" spans="1:14" ht="15" customHeight="1">
      <c r="A65" s="56"/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</row>
    <row r="66" spans="1:14" ht="15" customHeight="1">
      <c r="A66" s="56"/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</row>
    <row r="67" spans="1:14" ht="15" customHeight="1">
      <c r="A67" s="56"/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</row>
    <row r="68" spans="1:14" ht="15" customHeight="1">
      <c r="A68" s="56"/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</row>
    <row r="69" spans="1:14" ht="15" customHeight="1">
      <c r="A69" s="56"/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</row>
    <row r="70" spans="1:14" ht="15" customHeight="1">
      <c r="A70" s="56"/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</row>
    <row r="71" spans="1:14" ht="15" customHeight="1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</row>
    <row r="72" spans="1:14" ht="15" customHeight="1">
      <c r="A72" s="56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</row>
    <row r="73" spans="1:14" ht="15" customHeight="1">
      <c r="A73" s="56"/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</row>
    <row r="74" spans="1:14" ht="15" customHeight="1">
      <c r="A74" s="56"/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</row>
    <row r="75" spans="1:14" ht="15" customHeight="1">
      <c r="A75" s="56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</row>
    <row r="76" spans="1:14" ht="15" customHeight="1">
      <c r="A76" s="56"/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</row>
    <row r="77" spans="1:14" ht="15" customHeight="1">
      <c r="A77" s="56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</row>
    <row r="78" spans="1:14" ht="15" customHeight="1">
      <c r="A78" s="56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</row>
    <row r="79" spans="1:14" ht="15" customHeight="1">
      <c r="A79" s="56"/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</row>
    <row r="80" spans="1:14" ht="15" customHeight="1">
      <c r="A80" s="56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</row>
  </sheetData>
  <mergeCells count="5">
    <mergeCell ref="A1:D1"/>
    <mergeCell ref="A2:D2"/>
    <mergeCell ref="A22:D22"/>
    <mergeCell ref="A23:D23"/>
    <mergeCell ref="A24:D2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70"/>
  <sheetViews>
    <sheetView topLeftCell="A29" zoomScaleNormal="100" workbookViewId="0">
      <selection activeCell="B39" sqref="B39:F39"/>
    </sheetView>
  </sheetViews>
  <sheetFormatPr defaultColWidth="8.7109375" defaultRowHeight="15"/>
  <cols>
    <col min="1" max="1" width="34" style="13" customWidth="1"/>
    <col min="2" max="2" width="18" style="13" customWidth="1"/>
    <col min="3" max="3" width="38" style="13" customWidth="1"/>
    <col min="4" max="4" width="48" style="13" customWidth="1"/>
    <col min="5" max="5" width="20" style="13" customWidth="1"/>
    <col min="6" max="6" width="18" style="13" customWidth="1"/>
    <col min="7" max="8" width="16" style="13" customWidth="1"/>
  </cols>
  <sheetData>
    <row r="1" spans="1:8" ht="24" customHeight="1">
      <c r="A1" s="287" t="s">
        <v>485</v>
      </c>
      <c r="B1" s="287"/>
      <c r="C1" s="287"/>
      <c r="D1" s="287"/>
      <c r="E1" s="287"/>
      <c r="F1" s="287"/>
      <c r="G1" s="287"/>
      <c r="H1" s="287"/>
    </row>
    <row r="2" spans="1:8" ht="15" customHeight="1">
      <c r="A2" s="288" t="s">
        <v>486</v>
      </c>
      <c r="B2" s="288"/>
      <c r="C2" s="288"/>
      <c r="D2" s="288"/>
      <c r="E2" s="288"/>
      <c r="F2" s="288"/>
      <c r="G2" s="288"/>
      <c r="H2" s="288"/>
    </row>
    <row r="3" spans="1:8" ht="15" customHeight="1">
      <c r="A3" s="121"/>
      <c r="B3" s="121"/>
      <c r="C3" s="121"/>
      <c r="D3" s="121"/>
      <c r="E3" s="121"/>
      <c r="F3" s="121"/>
      <c r="G3" s="121"/>
      <c r="H3" s="121"/>
    </row>
    <row r="4" spans="1:8" ht="15" customHeight="1">
      <c r="A4" s="289" t="s">
        <v>487</v>
      </c>
      <c r="B4" s="289"/>
      <c r="C4" s="289"/>
      <c r="D4" s="289"/>
      <c r="E4" s="289"/>
      <c r="F4" s="289"/>
      <c r="G4" s="289"/>
      <c r="H4" s="289"/>
    </row>
    <row r="5" spans="1:8" ht="43.5" customHeight="1">
      <c r="A5" s="122" t="s">
        <v>488</v>
      </c>
      <c r="B5" s="303" t="s">
        <v>489</v>
      </c>
      <c r="C5" s="303"/>
      <c r="D5" s="121"/>
      <c r="E5" s="121"/>
      <c r="F5" s="121"/>
      <c r="G5" s="121"/>
      <c r="H5" s="121"/>
    </row>
    <row r="6" spans="1:8" ht="33" customHeight="1">
      <c r="A6" s="122" t="s">
        <v>490</v>
      </c>
      <c r="B6" s="303" t="s">
        <v>491</v>
      </c>
      <c r="C6" s="303"/>
      <c r="D6" s="121"/>
      <c r="E6" s="121"/>
      <c r="F6" s="121"/>
      <c r="G6" s="121"/>
      <c r="H6" s="121"/>
    </row>
    <row r="7" spans="1:8" ht="34.5" customHeight="1">
      <c r="A7" s="122" t="s">
        <v>492</v>
      </c>
      <c r="B7" s="303" t="s">
        <v>493</v>
      </c>
      <c r="C7" s="303"/>
      <c r="D7" s="121"/>
      <c r="E7" s="121"/>
      <c r="F7" s="121"/>
      <c r="G7" s="121"/>
      <c r="H7" s="121"/>
    </row>
    <row r="8" spans="1:8" ht="16.5" customHeight="1">
      <c r="A8" s="302"/>
      <c r="B8" s="121"/>
      <c r="C8" s="121"/>
      <c r="D8" s="121"/>
      <c r="E8" s="121"/>
      <c r="F8" s="121"/>
      <c r="G8" s="121"/>
      <c r="H8" s="121"/>
    </row>
    <row r="9" spans="1:8" ht="15" customHeight="1">
      <c r="A9" s="121"/>
      <c r="B9" s="121"/>
      <c r="C9" s="121"/>
      <c r="D9" s="121"/>
      <c r="E9" s="121"/>
      <c r="F9" s="121"/>
      <c r="G9" s="121"/>
      <c r="H9" s="121"/>
    </row>
    <row r="10" spans="1:8" ht="15" customHeight="1">
      <c r="A10" s="289" t="s">
        <v>494</v>
      </c>
      <c r="B10" s="289"/>
      <c r="C10" s="289"/>
      <c r="D10" s="289"/>
      <c r="E10" s="289"/>
      <c r="F10" s="289"/>
      <c r="G10" s="289"/>
      <c r="H10" s="289"/>
    </row>
    <row r="11" spans="1:8" ht="15" customHeight="1">
      <c r="A11" s="123" t="s">
        <v>495</v>
      </c>
      <c r="B11" s="124" t="s">
        <v>177</v>
      </c>
      <c r="C11" s="124" t="s">
        <v>496</v>
      </c>
      <c r="D11" s="124" t="s">
        <v>241</v>
      </c>
      <c r="E11" s="125"/>
      <c r="F11" s="121"/>
      <c r="G11" s="121"/>
      <c r="H11" s="121"/>
    </row>
    <row r="12" spans="1:8" ht="24" customHeight="1">
      <c r="A12" s="121" t="s">
        <v>497</v>
      </c>
      <c r="B12" s="126">
        <v>1875</v>
      </c>
      <c r="C12" s="125" t="s">
        <v>498</v>
      </c>
      <c r="D12" s="125" t="s">
        <v>499</v>
      </c>
      <c r="E12" s="125"/>
      <c r="F12" s="121"/>
      <c r="G12" s="121"/>
      <c r="H12" s="121"/>
    </row>
    <row r="13" spans="1:8" ht="24" customHeight="1">
      <c r="A13" s="121" t="s">
        <v>500</v>
      </c>
      <c r="B13" s="125">
        <f>AVERAGE(Model_Data!S12:S15)</f>
        <v>135.95499999999998</v>
      </c>
      <c r="C13" s="125" t="s">
        <v>501</v>
      </c>
      <c r="D13" s="125" t="s">
        <v>502</v>
      </c>
      <c r="E13" s="125"/>
      <c r="F13" s="121"/>
      <c r="G13" s="121"/>
      <c r="H13" s="121"/>
    </row>
    <row r="14" spans="1:8" ht="24" customHeight="1">
      <c r="A14" s="121" t="s">
        <v>503</v>
      </c>
      <c r="B14" s="125">
        <f>AVERAGE(Model_Data!S18:S27)</f>
        <v>518.71600000000001</v>
      </c>
      <c r="C14" s="125" t="s">
        <v>504</v>
      </c>
      <c r="D14" s="125" t="s">
        <v>505</v>
      </c>
      <c r="E14" s="125"/>
      <c r="F14" s="121"/>
      <c r="G14" s="121"/>
      <c r="H14" s="121"/>
    </row>
    <row r="15" spans="1:8" ht="24" customHeight="1">
      <c r="A15" s="121" t="s">
        <v>506</v>
      </c>
      <c r="B15" s="125">
        <f>B14-B13</f>
        <v>382.76100000000002</v>
      </c>
      <c r="C15" s="125" t="s">
        <v>507</v>
      </c>
      <c r="D15" s="125" t="s">
        <v>508</v>
      </c>
      <c r="E15" s="125"/>
      <c r="F15" s="121"/>
      <c r="G15" s="121"/>
      <c r="H15" s="121"/>
    </row>
    <row r="16" spans="1:8" ht="24" customHeight="1">
      <c r="A16" s="121" t="s">
        <v>509</v>
      </c>
      <c r="B16" s="125">
        <f>B12+B15</f>
        <v>2257.761</v>
      </c>
      <c r="C16" s="125" t="s">
        <v>510</v>
      </c>
      <c r="D16" s="125" t="s">
        <v>511</v>
      </c>
      <c r="E16" s="125"/>
      <c r="F16" s="121"/>
      <c r="G16" s="121"/>
      <c r="H16" s="121"/>
    </row>
    <row r="17" spans="1:8" ht="43.5" customHeight="1">
      <c r="A17" s="121" t="s">
        <v>512</v>
      </c>
      <c r="B17" s="127">
        <v>0.8</v>
      </c>
      <c r="C17" s="125" t="s">
        <v>513</v>
      </c>
      <c r="D17" s="125" t="s">
        <v>514</v>
      </c>
      <c r="E17" s="125"/>
      <c r="F17" s="121"/>
      <c r="G17" s="121"/>
      <c r="H17" s="121"/>
    </row>
    <row r="18" spans="1:8" ht="24" customHeight="1">
      <c r="A18" s="121" t="s">
        <v>515</v>
      </c>
      <c r="B18" s="125">
        <f>B16/B17</f>
        <v>2822.2012499999996</v>
      </c>
      <c r="C18" s="125" t="s">
        <v>516</v>
      </c>
      <c r="D18" s="125" t="s">
        <v>517</v>
      </c>
      <c r="E18" s="125"/>
      <c r="F18" s="121"/>
      <c r="G18" s="121"/>
      <c r="H18" s="121"/>
    </row>
    <row r="19" spans="1:8" ht="21.75" customHeight="1">
      <c r="A19" s="285" t="s">
        <v>518</v>
      </c>
      <c r="B19" s="285"/>
      <c r="C19" s="285"/>
      <c r="D19" s="285"/>
      <c r="E19" s="285"/>
      <c r="F19" s="285"/>
      <c r="G19" s="121"/>
      <c r="H19" s="121"/>
    </row>
    <row r="20" spans="1:8" ht="35.25" customHeight="1">
      <c r="A20" s="128" t="s">
        <v>519</v>
      </c>
      <c r="B20" s="129" t="s">
        <v>520</v>
      </c>
      <c r="C20" s="129" t="s">
        <v>496</v>
      </c>
      <c r="D20" s="129" t="s">
        <v>241</v>
      </c>
      <c r="E20" s="129"/>
      <c r="F20" s="128"/>
    </row>
    <row r="21" spans="1:8" ht="37.5" customHeight="1">
      <c r="A21" s="236" t="s">
        <v>521</v>
      </c>
      <c r="B21" s="130">
        <f>AVERAGE('Monthly_P&amp;L'!Q24:Z24)</f>
        <v>783.72399999999993</v>
      </c>
      <c r="C21" s="130" t="s">
        <v>522</v>
      </c>
      <c r="D21" s="130" t="s">
        <v>523</v>
      </c>
      <c r="E21" s="130"/>
      <c r="F21" s="236"/>
      <c r="G21" s="121"/>
      <c r="H21" s="121"/>
    </row>
    <row r="22" spans="1:8" ht="37.5" customHeight="1">
      <c r="A22" s="131" t="s">
        <v>524</v>
      </c>
      <c r="B22" s="132">
        <f>AVERAGE('Monthly_P&amp;L'!Y24:Z24)</f>
        <v>2295.81</v>
      </c>
      <c r="C22" s="132" t="s">
        <v>525</v>
      </c>
      <c r="D22" s="132" t="s">
        <v>526</v>
      </c>
      <c r="E22" s="132"/>
      <c r="F22" s="131"/>
      <c r="G22" s="121"/>
      <c r="H22" s="121"/>
    </row>
    <row r="23" spans="1:8" ht="37.5" customHeight="1">
      <c r="A23" s="131" t="s">
        <v>527</v>
      </c>
      <c r="B23" s="132">
        <f>B37</f>
        <v>7897.73</v>
      </c>
      <c r="C23" s="132" t="s">
        <v>528</v>
      </c>
      <c r="D23" s="132" t="s">
        <v>529</v>
      </c>
      <c r="E23" s="132"/>
      <c r="F23" s="131"/>
      <c r="G23" s="121"/>
      <c r="H23" s="121"/>
    </row>
    <row r="24" spans="1:8" ht="45.75" customHeight="1">
      <c r="A24" s="131" t="s">
        <v>530</v>
      </c>
      <c r="B24" s="132"/>
      <c r="C24" s="132" t="s">
        <v>531</v>
      </c>
      <c r="D24" s="132" t="s">
        <v>532</v>
      </c>
      <c r="E24" s="132"/>
      <c r="F24" s="131"/>
      <c r="G24" s="121"/>
      <c r="H24" s="121"/>
    </row>
    <row r="25" spans="1:8" ht="21.75" customHeight="1">
      <c r="A25" s="236"/>
      <c r="B25" s="130"/>
      <c r="C25" s="130"/>
      <c r="D25" s="130"/>
      <c r="E25" s="130"/>
      <c r="F25" s="236"/>
      <c r="G25" s="121"/>
      <c r="H25" s="121"/>
    </row>
    <row r="26" spans="1:8" ht="21.75" customHeight="1">
      <c r="A26" s="285" t="s">
        <v>533</v>
      </c>
      <c r="B26" s="285"/>
      <c r="C26" s="285"/>
      <c r="D26" s="285"/>
      <c r="E26" s="285"/>
      <c r="F26" s="285"/>
      <c r="G26" s="121"/>
      <c r="H26" s="121"/>
    </row>
    <row r="27" spans="1:8" ht="21.75" customHeight="1">
      <c r="A27" s="128" t="s">
        <v>519</v>
      </c>
      <c r="B27" s="129" t="s">
        <v>427</v>
      </c>
      <c r="C27" s="129" t="s">
        <v>534</v>
      </c>
      <c r="D27" s="129" t="s">
        <v>535</v>
      </c>
      <c r="E27" s="129" t="s">
        <v>536</v>
      </c>
      <c r="F27" s="128" t="s">
        <v>482</v>
      </c>
    </row>
    <row r="28" spans="1:8" ht="21.75" customHeight="1">
      <c r="A28" s="236" t="s">
        <v>537</v>
      </c>
      <c r="B28" s="130">
        <f>AVERAGE('Monthly_P&amp;L'!K26:N26)</f>
        <v>8854.6875</v>
      </c>
      <c r="C28" s="130">
        <v>0</v>
      </c>
      <c r="D28" s="130">
        <f>$B$18</f>
        <v>2822.2012499999996</v>
      </c>
      <c r="E28" s="132">
        <f>C28-D28</f>
        <v>-2822.2012499999996</v>
      </c>
      <c r="F28" s="131" t="s">
        <v>538</v>
      </c>
      <c r="G28" s="121"/>
      <c r="H28" s="121"/>
    </row>
    <row r="29" spans="1:8" ht="21.75" customHeight="1">
      <c r="A29" s="131" t="s">
        <v>539</v>
      </c>
      <c r="B29" s="132">
        <f>AVERAGE('Monthly_P&amp;L'!Q26:Z26)</f>
        <v>10756.160999999998</v>
      </c>
      <c r="C29" s="132">
        <f>B29-B28</f>
        <v>1901.4734999999982</v>
      </c>
      <c r="D29" s="132">
        <f>$B$18</f>
        <v>2822.2012499999996</v>
      </c>
      <c r="E29" s="132">
        <f>C29-D29</f>
        <v>-920.72775000000138</v>
      </c>
      <c r="F29" s="131" t="s">
        <v>540</v>
      </c>
      <c r="G29" s="121"/>
      <c r="H29" s="121"/>
    </row>
    <row r="30" spans="1:8" ht="21.75" customHeight="1">
      <c r="A30" s="131" t="s">
        <v>541</v>
      </c>
      <c r="B30" s="132">
        <f>AVERAGE('Monthly_P&amp;L'!Y26:Z26)</f>
        <v>13011.434999999999</v>
      </c>
      <c r="C30" s="132">
        <f>B30-B28</f>
        <v>4156.7474999999995</v>
      </c>
      <c r="D30" s="132">
        <f>$B$18</f>
        <v>2822.2012499999996</v>
      </c>
      <c r="E30" s="132">
        <f>C30-D30</f>
        <v>1334.5462499999999</v>
      </c>
      <c r="F30" s="131" t="s">
        <v>542</v>
      </c>
      <c r="G30" s="121"/>
      <c r="H30" s="121"/>
    </row>
    <row r="31" spans="1:8" ht="21.75" customHeight="1">
      <c r="A31" s="236"/>
      <c r="B31" s="130"/>
      <c r="C31" s="130"/>
      <c r="D31" s="130"/>
      <c r="E31" s="130"/>
      <c r="F31" s="236"/>
      <c r="G31" s="121"/>
      <c r="H31" s="121"/>
    </row>
    <row r="32" spans="1:8" ht="21.75" customHeight="1">
      <c r="A32" s="285" t="s">
        <v>543</v>
      </c>
      <c r="B32" s="285"/>
      <c r="C32" s="285"/>
      <c r="D32" s="285"/>
      <c r="E32" s="285"/>
      <c r="F32" s="285"/>
      <c r="G32" s="121"/>
      <c r="H32" s="121"/>
    </row>
    <row r="33" spans="1:8" ht="21.75" customHeight="1">
      <c r="A33" s="128" t="s">
        <v>519</v>
      </c>
      <c r="B33" s="129" t="s">
        <v>544</v>
      </c>
      <c r="C33" s="129" t="s">
        <v>496</v>
      </c>
      <c r="D33" s="129" t="s">
        <v>241</v>
      </c>
      <c r="E33" s="129"/>
      <c r="F33" s="128"/>
      <c r="G33" s="121"/>
      <c r="H33" s="121"/>
    </row>
    <row r="34" spans="1:8" ht="21.75" customHeight="1">
      <c r="A34" s="131" t="s">
        <v>545</v>
      </c>
      <c r="B34" s="132">
        <f>SUM('Monthly_P&amp;L'!O20:Z20)</f>
        <v>5829.12</v>
      </c>
      <c r="C34" s="132" t="s">
        <v>45</v>
      </c>
      <c r="D34" s="132" t="s">
        <v>546</v>
      </c>
      <c r="E34" s="132"/>
      <c r="F34" s="131"/>
      <c r="G34" s="121"/>
      <c r="H34" s="121"/>
    </row>
    <row r="35" spans="1:8" ht="21.75" customHeight="1">
      <c r="A35" s="236" t="s">
        <v>547</v>
      </c>
      <c r="B35" s="132">
        <f>SUM('Monthly_P&amp;L'!O22:Z22)</f>
        <v>878.11</v>
      </c>
      <c r="C35" s="132" t="s">
        <v>45</v>
      </c>
      <c r="D35" s="132" t="s">
        <v>548</v>
      </c>
      <c r="E35" s="132"/>
      <c r="F35" s="131"/>
    </row>
    <row r="36" spans="1:8" ht="21.75" customHeight="1">
      <c r="A36" s="133" t="s">
        <v>549</v>
      </c>
      <c r="B36" s="132">
        <f>SUM('Monthly_P&amp;L'!O21:Z21,'Monthly_P&amp;L'!O23:Z23)</f>
        <v>1190.5</v>
      </c>
      <c r="C36" s="131" t="s">
        <v>45</v>
      </c>
      <c r="D36" s="131" t="s">
        <v>550</v>
      </c>
      <c r="E36" s="131"/>
      <c r="F36" s="131"/>
      <c r="G36" s="121"/>
      <c r="H36" s="121"/>
    </row>
    <row r="37" spans="1:8" ht="39" customHeight="1">
      <c r="A37" s="133" t="s">
        <v>551</v>
      </c>
      <c r="B37" s="132">
        <f>B34+B35+B36</f>
        <v>7897.73</v>
      </c>
      <c r="C37" s="131" t="s">
        <v>552</v>
      </c>
      <c r="D37" s="131" t="s">
        <v>553</v>
      </c>
      <c r="E37" s="131"/>
      <c r="F37" s="131"/>
      <c r="G37" s="121"/>
      <c r="H37" s="121"/>
    </row>
    <row r="38" spans="1:8" ht="21.75" customHeight="1">
      <c r="A38" s="236"/>
      <c r="B38" s="236"/>
      <c r="C38" s="236"/>
      <c r="D38" s="236"/>
      <c r="E38" s="236"/>
      <c r="F38" s="236"/>
      <c r="G38" s="121"/>
      <c r="H38" s="121"/>
    </row>
    <row r="39" spans="1:8" ht="66" customHeight="1">
      <c r="A39" s="134" t="s">
        <v>554</v>
      </c>
      <c r="B39" s="286" t="s">
        <v>555</v>
      </c>
      <c r="C39" s="286"/>
      <c r="D39" s="286"/>
      <c r="E39" s="286"/>
      <c r="F39" s="286"/>
      <c r="G39" s="121"/>
      <c r="H39" s="121"/>
    </row>
    <row r="40" spans="1:8" ht="15" customHeight="1">
      <c r="A40" s="121"/>
      <c r="B40" s="121"/>
      <c r="C40" s="121"/>
      <c r="D40" s="121"/>
      <c r="E40" s="121"/>
      <c r="F40" s="121"/>
      <c r="G40" s="121"/>
      <c r="H40" s="121"/>
    </row>
    <row r="41" spans="1:8" ht="15" customHeight="1">
      <c r="A41" s="121"/>
      <c r="B41" s="121"/>
      <c r="C41" s="121"/>
      <c r="D41" s="121"/>
      <c r="E41" s="121"/>
      <c r="F41" s="121"/>
      <c r="G41" s="121"/>
      <c r="H41" s="121"/>
    </row>
    <row r="42" spans="1:8" ht="15" customHeight="1">
      <c r="A42" s="121"/>
      <c r="B42" s="121"/>
      <c r="C42" s="121"/>
      <c r="D42" s="121"/>
      <c r="E42" s="121"/>
      <c r="F42" s="121"/>
      <c r="G42" s="121"/>
      <c r="H42" s="121"/>
    </row>
    <row r="43" spans="1:8" ht="15" customHeight="1">
      <c r="A43" s="121"/>
      <c r="B43" s="121"/>
      <c r="C43" s="121"/>
      <c r="D43" s="121"/>
      <c r="E43" s="121"/>
      <c r="F43" s="121"/>
      <c r="G43" s="121"/>
      <c r="H43" s="121"/>
    </row>
    <row r="44" spans="1:8" ht="15" customHeight="1">
      <c r="A44" s="121"/>
      <c r="B44" s="121"/>
      <c r="C44" s="121"/>
      <c r="D44" s="121"/>
      <c r="E44" s="121"/>
      <c r="F44" s="121"/>
      <c r="G44" s="121"/>
      <c r="H44" s="121"/>
    </row>
    <row r="45" spans="1:8" ht="15" customHeight="1">
      <c r="A45" s="121"/>
      <c r="B45" s="121"/>
      <c r="C45" s="121"/>
      <c r="D45" s="121"/>
      <c r="E45" s="121"/>
      <c r="F45" s="121"/>
      <c r="G45" s="121"/>
      <c r="H45" s="121"/>
    </row>
    <row r="46" spans="1:8" ht="15" customHeight="1">
      <c r="A46" s="121"/>
      <c r="B46" s="121"/>
      <c r="C46" s="121"/>
      <c r="D46" s="121"/>
      <c r="E46" s="121"/>
      <c r="F46" s="121"/>
      <c r="G46" s="121"/>
      <c r="H46" s="121"/>
    </row>
    <row r="47" spans="1:8" ht="15" customHeight="1">
      <c r="A47" s="121"/>
      <c r="B47" s="121"/>
      <c r="C47" s="121"/>
      <c r="D47" s="121"/>
      <c r="E47" s="121"/>
      <c r="F47" s="121"/>
      <c r="G47" s="121"/>
      <c r="H47" s="121"/>
    </row>
    <row r="48" spans="1:8" ht="15" customHeight="1">
      <c r="A48" s="121"/>
      <c r="B48" s="121"/>
      <c r="C48" s="121"/>
      <c r="D48" s="121"/>
      <c r="E48" s="121"/>
      <c r="F48" s="121"/>
      <c r="G48" s="121"/>
      <c r="H48" s="121"/>
    </row>
    <row r="49" spans="1:8" ht="15" customHeight="1">
      <c r="A49" s="121"/>
      <c r="B49" s="121"/>
      <c r="C49" s="121"/>
      <c r="D49" s="121"/>
      <c r="E49" s="121"/>
      <c r="F49" s="121"/>
      <c r="G49" s="121"/>
      <c r="H49" s="121"/>
    </row>
    <row r="50" spans="1:8" ht="15" customHeight="1">
      <c r="A50" s="121"/>
      <c r="B50" s="121"/>
      <c r="C50" s="121"/>
      <c r="D50" s="121"/>
      <c r="E50" s="121"/>
      <c r="F50" s="121"/>
      <c r="G50" s="121"/>
      <c r="H50" s="121"/>
    </row>
    <row r="51" spans="1:8" ht="15" customHeight="1">
      <c r="A51" s="121"/>
      <c r="B51" s="121"/>
      <c r="C51" s="121"/>
      <c r="D51" s="121"/>
      <c r="E51" s="121"/>
      <c r="F51" s="121"/>
      <c r="G51" s="121"/>
      <c r="H51" s="121"/>
    </row>
    <row r="52" spans="1:8" ht="15" customHeight="1">
      <c r="A52" s="121"/>
      <c r="B52" s="121"/>
      <c r="C52" s="121"/>
      <c r="D52" s="121"/>
      <c r="E52" s="121"/>
      <c r="F52" s="121"/>
      <c r="G52" s="121"/>
      <c r="H52" s="121"/>
    </row>
    <row r="53" spans="1:8" ht="15" customHeight="1">
      <c r="A53" s="121"/>
      <c r="B53" s="121"/>
      <c r="C53" s="121"/>
      <c r="D53" s="121"/>
      <c r="E53" s="121"/>
      <c r="F53" s="121"/>
      <c r="G53" s="121"/>
      <c r="H53" s="121"/>
    </row>
    <row r="54" spans="1:8" ht="15" customHeight="1">
      <c r="A54" s="121"/>
      <c r="B54" s="121"/>
      <c r="C54" s="121"/>
      <c r="D54" s="121"/>
      <c r="E54" s="121"/>
      <c r="F54" s="121"/>
      <c r="G54" s="121"/>
      <c r="H54" s="121"/>
    </row>
    <row r="55" spans="1:8" ht="15" customHeight="1">
      <c r="A55" s="121"/>
      <c r="B55" s="121"/>
      <c r="C55" s="121"/>
      <c r="D55" s="121"/>
      <c r="E55" s="121"/>
      <c r="F55" s="121"/>
      <c r="G55" s="121"/>
      <c r="H55" s="121"/>
    </row>
    <row r="56" spans="1:8" ht="15" customHeight="1">
      <c r="A56" s="121"/>
      <c r="B56" s="121"/>
      <c r="C56" s="121"/>
      <c r="D56" s="121"/>
      <c r="E56" s="121"/>
      <c r="F56" s="121"/>
      <c r="G56" s="121"/>
      <c r="H56" s="121"/>
    </row>
    <row r="57" spans="1:8" ht="15" customHeight="1">
      <c r="A57" s="121"/>
      <c r="B57" s="121"/>
      <c r="C57" s="121"/>
      <c r="D57" s="121"/>
      <c r="E57" s="121"/>
      <c r="F57" s="121"/>
      <c r="G57" s="121"/>
      <c r="H57" s="121"/>
    </row>
    <row r="58" spans="1:8" ht="15" customHeight="1">
      <c r="A58" s="121"/>
      <c r="B58" s="121"/>
      <c r="C58" s="121"/>
      <c r="D58" s="121"/>
      <c r="E58" s="121"/>
      <c r="F58" s="121"/>
      <c r="G58" s="121"/>
      <c r="H58" s="121"/>
    </row>
    <row r="59" spans="1:8" ht="15" customHeight="1">
      <c r="A59" s="121"/>
      <c r="B59" s="121"/>
      <c r="C59" s="121"/>
      <c r="D59" s="121"/>
      <c r="E59" s="121"/>
      <c r="F59" s="121"/>
      <c r="G59" s="121"/>
      <c r="H59" s="121"/>
    </row>
    <row r="60" spans="1:8" ht="15" customHeight="1">
      <c r="A60" s="121"/>
      <c r="B60" s="121"/>
      <c r="C60" s="121"/>
      <c r="D60" s="121"/>
      <c r="E60" s="121"/>
      <c r="F60" s="121"/>
      <c r="G60" s="121"/>
      <c r="H60" s="121"/>
    </row>
    <row r="61" spans="1:8" ht="15" customHeight="1">
      <c r="A61" s="121"/>
      <c r="B61" s="121"/>
      <c r="C61" s="121"/>
      <c r="D61" s="121"/>
      <c r="E61" s="121"/>
      <c r="F61" s="121"/>
      <c r="G61" s="121"/>
      <c r="H61" s="121"/>
    </row>
    <row r="62" spans="1:8" ht="15" customHeight="1">
      <c r="A62" s="121"/>
      <c r="B62" s="121"/>
      <c r="C62" s="121"/>
      <c r="D62" s="121"/>
      <c r="E62" s="121"/>
      <c r="F62" s="121"/>
      <c r="G62" s="121"/>
      <c r="H62" s="121"/>
    </row>
    <row r="63" spans="1:8" ht="15" customHeight="1">
      <c r="A63" s="121"/>
      <c r="B63" s="121"/>
      <c r="C63" s="121"/>
      <c r="D63" s="121"/>
      <c r="E63" s="121"/>
      <c r="F63" s="121"/>
      <c r="G63" s="121"/>
      <c r="H63" s="121"/>
    </row>
    <row r="64" spans="1:8" ht="15" customHeight="1">
      <c r="A64" s="121"/>
      <c r="B64" s="121"/>
      <c r="C64" s="121"/>
      <c r="D64" s="121"/>
      <c r="E64" s="121"/>
      <c r="F64" s="121"/>
      <c r="G64" s="121"/>
      <c r="H64" s="121"/>
    </row>
    <row r="65" spans="1:8" ht="15" customHeight="1">
      <c r="A65" s="121"/>
      <c r="B65" s="121"/>
      <c r="C65" s="121"/>
      <c r="D65" s="121"/>
      <c r="E65" s="121"/>
      <c r="F65" s="121"/>
      <c r="G65" s="121"/>
      <c r="H65" s="121"/>
    </row>
    <row r="66" spans="1:8" ht="15" customHeight="1">
      <c r="A66" s="121"/>
      <c r="B66" s="121"/>
      <c r="C66" s="121"/>
      <c r="D66" s="121"/>
      <c r="E66" s="121"/>
      <c r="F66" s="121"/>
      <c r="G66" s="121"/>
      <c r="H66" s="121"/>
    </row>
    <row r="67" spans="1:8" ht="15" customHeight="1">
      <c r="A67" s="121"/>
      <c r="B67" s="121"/>
      <c r="C67" s="121"/>
      <c r="D67" s="121"/>
      <c r="E67" s="121"/>
      <c r="F67" s="121"/>
      <c r="G67" s="121"/>
      <c r="H67" s="121"/>
    </row>
    <row r="68" spans="1:8" ht="15" customHeight="1">
      <c r="A68" s="121"/>
      <c r="B68" s="121"/>
      <c r="C68" s="121"/>
      <c r="D68" s="121"/>
      <c r="E68" s="121"/>
      <c r="F68" s="121"/>
      <c r="G68" s="121"/>
      <c r="H68" s="121"/>
    </row>
    <row r="69" spans="1:8" ht="15" customHeight="1">
      <c r="A69" s="121"/>
      <c r="B69" s="121"/>
      <c r="C69" s="121"/>
      <c r="D69" s="121"/>
      <c r="E69" s="121"/>
      <c r="F69" s="121"/>
      <c r="G69" s="121"/>
      <c r="H69" s="121"/>
    </row>
    <row r="70" spans="1:8" ht="15" customHeight="1">
      <c r="A70" s="121"/>
      <c r="B70" s="121"/>
      <c r="C70" s="121"/>
      <c r="D70" s="121"/>
      <c r="E70" s="121"/>
      <c r="F70" s="121"/>
      <c r="G70" s="121"/>
      <c r="H70" s="121"/>
    </row>
  </sheetData>
  <mergeCells count="11">
    <mergeCell ref="A26:F26"/>
    <mergeCell ref="A32:F32"/>
    <mergeCell ref="B39:F39"/>
    <mergeCell ref="A1:H1"/>
    <mergeCell ref="A2:H2"/>
    <mergeCell ref="A4:H4"/>
    <mergeCell ref="A10:H10"/>
    <mergeCell ref="A19:F19"/>
    <mergeCell ref="B5:C5"/>
    <mergeCell ref="B6:C6"/>
    <mergeCell ref="B7:C7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"/>
  <sheetViews>
    <sheetView topLeftCell="A24" zoomScaleNormal="100" workbookViewId="0">
      <selection activeCell="B36" sqref="B36:F36"/>
    </sheetView>
  </sheetViews>
  <sheetFormatPr defaultColWidth="8.7109375" defaultRowHeight="15"/>
  <cols>
    <col min="1" max="1" width="38" style="13" customWidth="1"/>
    <col min="2" max="6" width="15" style="13" customWidth="1"/>
  </cols>
  <sheetData>
    <row r="1" spans="1:26" ht="24" customHeight="1">
      <c r="A1" s="290" t="s">
        <v>556</v>
      </c>
      <c r="B1" s="290"/>
      <c r="C1" s="290"/>
      <c r="D1" s="290"/>
      <c r="E1" s="290"/>
      <c r="F1" s="290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5"/>
    </row>
    <row r="2" spans="1:26" ht="27.75" customHeight="1">
      <c r="A2" s="291" t="s">
        <v>557</v>
      </c>
      <c r="B2" s="291"/>
      <c r="C2" s="291"/>
      <c r="D2" s="291"/>
      <c r="E2" s="291"/>
      <c r="F2" s="291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</row>
    <row r="3" spans="1:26" ht="15" customHeight="1">
      <c r="A3" s="135"/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5"/>
    </row>
    <row r="4" spans="1:26" ht="15" customHeight="1">
      <c r="A4" s="136" t="s">
        <v>558</v>
      </c>
      <c r="B4" s="137" t="s">
        <v>559</v>
      </c>
      <c r="C4" s="137" t="s">
        <v>560</v>
      </c>
      <c r="D4" s="137" t="s">
        <v>561</v>
      </c>
      <c r="E4" s="137" t="s">
        <v>562</v>
      </c>
      <c r="F4" s="137" t="s">
        <v>257</v>
      </c>
      <c r="G4" s="135"/>
      <c r="H4" s="135"/>
      <c r="I4" s="135"/>
      <c r="J4" s="135"/>
      <c r="K4" s="135"/>
      <c r="L4" s="135"/>
      <c r="M4" s="135"/>
      <c r="N4" s="135"/>
      <c r="O4" s="135"/>
      <c r="P4" s="135"/>
      <c r="Q4" s="135"/>
      <c r="R4" s="135"/>
      <c r="S4" s="135"/>
      <c r="T4" s="135"/>
      <c r="U4" s="135"/>
      <c r="V4" s="135"/>
      <c r="W4" s="135"/>
      <c r="X4" s="135"/>
      <c r="Y4" s="135"/>
      <c r="Z4" s="135"/>
    </row>
    <row r="5" spans="1:26" ht="15" customHeight="1">
      <c r="A5" s="135" t="s">
        <v>427</v>
      </c>
      <c r="B5" s="138">
        <f>SUMIF('Monthly_P&amp;L'!$C$4:$AG$4,B$4,'Monthly_P&amp;L'!$C$26:$AG$26)</f>
        <v>4575</v>
      </c>
      <c r="C5" s="138">
        <f>SUMIF('Monthly_P&amp;L'!$C$4:$AG$4,C$4,'Monthly_P&amp;L'!$C$26:$AG$26)</f>
        <v>69237.5</v>
      </c>
      <c r="D5" s="138">
        <f>SUMIF('Monthly_P&amp;L'!$C$4:$AG$4,D$4,'Monthly_P&amp;L'!$C$26:$AG$26)</f>
        <v>120892.09999999999</v>
      </c>
      <c r="E5" s="138">
        <f>SUMIF('Monthly_P&amp;L'!$C$4:$AG$4,E$4,'Monthly_P&amp;L'!$C$26:$AG$26)</f>
        <v>80631.88</v>
      </c>
      <c r="F5" s="138">
        <f>SUM(B5:E5)</f>
        <v>275336.48</v>
      </c>
      <c r="G5" s="135"/>
      <c r="H5" s="135"/>
      <c r="I5" s="135"/>
      <c r="J5" s="135"/>
      <c r="K5" s="135"/>
      <c r="L5" s="135"/>
      <c r="M5" s="135"/>
      <c r="N5" s="135"/>
      <c r="O5" s="135"/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35"/>
    </row>
    <row r="6" spans="1:26" ht="15" customHeight="1">
      <c r="A6" s="135" t="s">
        <v>563</v>
      </c>
      <c r="B6" s="138">
        <f>Inventory_Rollforward!B16</f>
        <v>0</v>
      </c>
      <c r="C6" s="138">
        <f>Inventory_Rollforward!C16</f>
        <v>1930.93</v>
      </c>
      <c r="D6" s="138">
        <f>Inventory_Rollforward!D16</f>
        <v>1880.12</v>
      </c>
      <c r="E6" s="138">
        <f>Inventory_Rollforward!E16</f>
        <v>402.08</v>
      </c>
      <c r="F6" s="138">
        <f>Inventory_Rollforward!F16</f>
        <v>4213.13</v>
      </c>
      <c r="G6" s="135"/>
      <c r="H6" s="135"/>
      <c r="I6" s="135"/>
      <c r="J6" s="135"/>
      <c r="K6" s="135"/>
      <c r="L6" s="135"/>
      <c r="M6" s="135"/>
      <c r="N6" s="135"/>
      <c r="O6" s="135"/>
      <c r="P6" s="135"/>
      <c r="Q6" s="135"/>
      <c r="R6" s="135"/>
      <c r="S6" s="135"/>
      <c r="T6" s="135"/>
      <c r="U6" s="135"/>
      <c r="V6" s="135"/>
      <c r="W6" s="135"/>
      <c r="X6" s="135"/>
      <c r="Y6" s="135"/>
      <c r="Z6" s="135"/>
    </row>
    <row r="7" spans="1:26" ht="15" customHeight="1">
      <c r="A7" s="139" t="s">
        <v>564</v>
      </c>
      <c r="B7" s="140">
        <f>B5-B6</f>
        <v>4575</v>
      </c>
      <c r="C7" s="140">
        <f>C5-C6</f>
        <v>67306.570000000007</v>
      </c>
      <c r="D7" s="140">
        <f>D5-D6</f>
        <v>119011.98</v>
      </c>
      <c r="E7" s="140">
        <f>E5-E6</f>
        <v>80229.8</v>
      </c>
      <c r="F7" s="140">
        <f>F5-F6</f>
        <v>271123.34999999998</v>
      </c>
      <c r="G7" s="135"/>
      <c r="H7" s="135"/>
      <c r="I7" s="135"/>
      <c r="J7" s="135"/>
      <c r="K7" s="135"/>
      <c r="L7" s="135"/>
      <c r="M7" s="135"/>
      <c r="N7" s="135"/>
      <c r="O7" s="135"/>
      <c r="P7" s="135"/>
      <c r="Q7" s="135"/>
      <c r="R7" s="135"/>
      <c r="S7" s="135"/>
      <c r="T7" s="135"/>
      <c r="U7" s="135"/>
      <c r="V7" s="135"/>
      <c r="W7" s="135"/>
      <c r="X7" s="135"/>
      <c r="Y7" s="135"/>
      <c r="Z7" s="135"/>
    </row>
    <row r="8" spans="1:26" ht="15" customHeight="1">
      <c r="A8" s="135" t="s">
        <v>565</v>
      </c>
      <c r="B8" s="138">
        <f>SUMIF('Monthly_P&amp;L'!$C$4:$AG$4,B$4,'Monthly_P&amp;L'!$C$37:$AG$37)</f>
        <v>0</v>
      </c>
      <c r="C8" s="138">
        <f>SUMIF('Monthly_P&amp;L'!$C$4:$AG$4,C$4,'Monthly_P&amp;L'!$C$37:$AG$37)</f>
        <v>9061.25</v>
      </c>
      <c r="D8" s="138">
        <f>SUMIF('Monthly_P&amp;L'!$C$4:$AG$4,D$4,'Monthly_P&amp;L'!$C$37:$AG$37)</f>
        <v>19939.13</v>
      </c>
      <c r="E8" s="138">
        <f>SUMIF('Monthly_P&amp;L'!$C$4:$AG$4,E$4,'Monthly_P&amp;L'!$C$37:$AG$37)</f>
        <v>13067.49</v>
      </c>
      <c r="F8" s="138">
        <f>SUM(B8:E8)</f>
        <v>42067.87</v>
      </c>
      <c r="G8" s="135"/>
      <c r="H8" s="135"/>
      <c r="I8" s="135"/>
      <c r="J8" s="135"/>
      <c r="K8" s="135"/>
      <c r="L8" s="135"/>
      <c r="M8" s="135"/>
      <c r="N8" s="135"/>
      <c r="O8" s="135"/>
      <c r="P8" s="135"/>
      <c r="Q8" s="135"/>
      <c r="R8" s="135"/>
      <c r="S8" s="135"/>
      <c r="T8" s="135"/>
      <c r="U8" s="135"/>
      <c r="V8" s="135"/>
      <c r="W8" s="135"/>
      <c r="X8" s="135"/>
      <c r="Y8" s="135"/>
      <c r="Z8" s="135"/>
    </row>
    <row r="9" spans="1:26" ht="15" customHeight="1">
      <c r="A9" s="135" t="s">
        <v>566</v>
      </c>
      <c r="B9" s="138">
        <f>SUMIF('Monthly_P&amp;L'!$C$4:$AG$4,B$4,'Monthly_P&amp;L'!$C$46:$AG$46)</f>
        <v>4501.12</v>
      </c>
      <c r="C9" s="138">
        <f>SUMIF('Monthly_P&amp;L'!$C$4:$AG$4,C$4,'Monthly_P&amp;L'!$C$46:$AG$46)</f>
        <v>35655.79</v>
      </c>
      <c r="D9" s="138">
        <f>SUMIF('Monthly_P&amp;L'!$C$4:$AG$4,D$4,'Monthly_P&amp;L'!$C$46:$AG$46)</f>
        <v>67004.360000000015</v>
      </c>
      <c r="E9" s="138">
        <f>SUMIF('Monthly_P&amp;L'!$C$4:$AG$4,E$4,'Monthly_P&amp;L'!$C$46:$AG$46)</f>
        <v>36904.350000000006</v>
      </c>
      <c r="F9" s="138">
        <f>SUM(B9:E9)</f>
        <v>144065.62000000002</v>
      </c>
      <c r="G9" s="135"/>
      <c r="H9" s="135"/>
      <c r="I9" s="135"/>
      <c r="J9" s="135"/>
      <c r="K9" s="135"/>
      <c r="L9" s="135"/>
      <c r="M9" s="135"/>
      <c r="N9" s="135"/>
      <c r="O9" s="135"/>
      <c r="P9" s="135"/>
      <c r="Q9" s="135"/>
      <c r="R9" s="135"/>
      <c r="S9" s="135"/>
      <c r="T9" s="135"/>
      <c r="U9" s="135"/>
      <c r="V9" s="135"/>
      <c r="W9" s="135"/>
      <c r="X9" s="135"/>
      <c r="Y9" s="135"/>
      <c r="Z9" s="135"/>
    </row>
    <row r="10" spans="1:26" ht="15" customHeight="1">
      <c r="A10" s="139" t="s">
        <v>441</v>
      </c>
      <c r="B10" s="140">
        <f>B6+B8+B9</f>
        <v>4501.12</v>
      </c>
      <c r="C10" s="140">
        <f>C6+C8+C9</f>
        <v>46647.97</v>
      </c>
      <c r="D10" s="140">
        <f>D6+D8+D9</f>
        <v>88823.610000000015</v>
      </c>
      <c r="E10" s="140">
        <f>E6+E8+E9</f>
        <v>50373.920000000006</v>
      </c>
      <c r="F10" s="140">
        <f>F6+F8+F9</f>
        <v>190346.62000000002</v>
      </c>
      <c r="G10" s="135"/>
      <c r="H10" s="135"/>
      <c r="I10" s="135"/>
      <c r="J10" s="135"/>
      <c r="K10" s="135"/>
      <c r="L10" s="135"/>
      <c r="M10" s="135"/>
      <c r="N10" s="135"/>
      <c r="O10" s="135"/>
      <c r="P10" s="135"/>
      <c r="Q10" s="135"/>
      <c r="R10" s="135"/>
      <c r="S10" s="135"/>
      <c r="T10" s="135"/>
      <c r="U10" s="135"/>
      <c r="V10" s="135"/>
      <c r="W10" s="135"/>
      <c r="X10" s="135"/>
      <c r="Y10" s="135"/>
      <c r="Z10" s="135"/>
    </row>
    <row r="11" spans="1:26" ht="15" customHeight="1">
      <c r="A11" s="139" t="s">
        <v>193</v>
      </c>
      <c r="B11" s="140">
        <f>B5-B10</f>
        <v>73.880000000000109</v>
      </c>
      <c r="C11" s="140">
        <f>C5-C10</f>
        <v>22589.53</v>
      </c>
      <c r="D11" s="140">
        <f>D5-D10</f>
        <v>32068.489999999976</v>
      </c>
      <c r="E11" s="140">
        <f>E5-E10</f>
        <v>30257.96</v>
      </c>
      <c r="F11" s="140">
        <f>SUM(B11:E11)</f>
        <v>84989.859999999986</v>
      </c>
      <c r="G11" s="135"/>
      <c r="H11" s="135"/>
      <c r="I11" s="135"/>
      <c r="J11" s="135"/>
      <c r="K11" s="135"/>
      <c r="L11" s="135"/>
      <c r="M11" s="135"/>
      <c r="N11" s="135"/>
      <c r="O11" s="135"/>
      <c r="P11" s="135"/>
      <c r="Q11" s="135"/>
      <c r="R11" s="135"/>
      <c r="S11" s="135"/>
      <c r="T11" s="135"/>
      <c r="U11" s="135"/>
      <c r="V11" s="135"/>
      <c r="W11" s="135"/>
      <c r="X11" s="135"/>
      <c r="Y11" s="135"/>
      <c r="Z11" s="135"/>
    </row>
    <row r="12" spans="1:26" ht="15" customHeight="1">
      <c r="A12" s="139" t="s">
        <v>567</v>
      </c>
      <c r="B12" s="141">
        <f>IFERROR(B11/B5,0)</f>
        <v>1.6148633879781445E-2</v>
      </c>
      <c r="C12" s="141">
        <f>IFERROR(C11/C5,0)</f>
        <v>0.3262614912439068</v>
      </c>
      <c r="D12" s="141">
        <f>IFERROR(D11/D5,0)</f>
        <v>0.26526538954985462</v>
      </c>
      <c r="E12" s="141">
        <f>IFERROR(E11/E5,0)</f>
        <v>0.37526050490203128</v>
      </c>
      <c r="F12" s="141">
        <f>IFERROR(F11/F5,0)</f>
        <v>0.30867635120489662</v>
      </c>
      <c r="G12" s="135"/>
      <c r="H12" s="135"/>
      <c r="I12" s="135"/>
      <c r="J12" s="135"/>
      <c r="K12" s="135"/>
      <c r="L12" s="135"/>
      <c r="M12" s="135"/>
      <c r="N12" s="135"/>
      <c r="O12" s="135"/>
      <c r="P12" s="135"/>
      <c r="Q12" s="135"/>
      <c r="R12" s="135"/>
      <c r="S12" s="135"/>
      <c r="T12" s="135"/>
      <c r="U12" s="135"/>
      <c r="V12" s="135"/>
      <c r="W12" s="135"/>
      <c r="X12" s="135"/>
      <c r="Y12" s="135"/>
      <c r="Z12" s="135"/>
    </row>
    <row r="13" spans="1:26" ht="15" customHeight="1">
      <c r="A13" s="135"/>
      <c r="B13" s="138"/>
      <c r="C13" s="138"/>
      <c r="D13" s="138"/>
      <c r="E13" s="138"/>
      <c r="F13" s="138"/>
      <c r="G13" s="135"/>
      <c r="H13" s="135"/>
      <c r="I13" s="135"/>
      <c r="J13" s="135"/>
      <c r="K13" s="135"/>
      <c r="L13" s="135"/>
      <c r="M13" s="135"/>
      <c r="N13" s="135"/>
      <c r="O13" s="135"/>
      <c r="P13" s="135"/>
      <c r="Q13" s="135"/>
      <c r="R13" s="135"/>
      <c r="S13" s="135"/>
      <c r="T13" s="135"/>
      <c r="U13" s="135"/>
      <c r="V13" s="135"/>
      <c r="W13" s="135"/>
      <c r="X13" s="135"/>
      <c r="Y13" s="135"/>
      <c r="Z13" s="135"/>
    </row>
    <row r="14" spans="1:26" ht="15" customHeight="1">
      <c r="A14" s="135"/>
      <c r="B14" s="138"/>
      <c r="C14" s="138"/>
      <c r="D14" s="138"/>
      <c r="E14" s="138"/>
      <c r="F14" s="138"/>
      <c r="G14" s="135"/>
      <c r="H14" s="135"/>
      <c r="I14" s="135"/>
      <c r="J14" s="135"/>
      <c r="K14" s="135"/>
      <c r="L14" s="135"/>
      <c r="M14" s="135"/>
      <c r="N14" s="135"/>
      <c r="O14" s="135"/>
      <c r="P14" s="135"/>
      <c r="Q14" s="135"/>
      <c r="R14" s="135"/>
      <c r="S14" s="135"/>
      <c r="T14" s="135"/>
      <c r="U14" s="135"/>
      <c r="V14" s="135"/>
      <c r="W14" s="135"/>
      <c r="X14" s="135"/>
      <c r="Y14" s="135"/>
      <c r="Z14" s="135"/>
    </row>
    <row r="15" spans="1:26" ht="15" customHeight="1">
      <c r="A15" s="137" t="s">
        <v>568</v>
      </c>
      <c r="B15" s="142" t="s">
        <v>559</v>
      </c>
      <c r="C15" s="142" t="s">
        <v>560</v>
      </c>
      <c r="D15" s="142" t="s">
        <v>561</v>
      </c>
      <c r="E15" s="142" t="s">
        <v>562</v>
      </c>
      <c r="F15" s="142" t="s">
        <v>257</v>
      </c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5"/>
    </row>
    <row r="16" spans="1:26" ht="15" customHeight="1">
      <c r="A16" s="135" t="s">
        <v>569</v>
      </c>
      <c r="B16" s="138">
        <f>0</f>
        <v>0</v>
      </c>
      <c r="C16" s="138">
        <f>B21</f>
        <v>73.880000000000109</v>
      </c>
      <c r="D16" s="138">
        <f>C21</f>
        <v>13388.41</v>
      </c>
      <c r="E16" s="138">
        <f>D21</f>
        <v>26100.649999999976</v>
      </c>
      <c r="F16" s="138">
        <f>0</f>
        <v>0</v>
      </c>
      <c r="G16" s="135"/>
      <c r="H16" s="135"/>
      <c r="I16" s="135"/>
      <c r="J16" s="135"/>
      <c r="K16" s="135"/>
      <c r="L16" s="135"/>
      <c r="M16" s="135"/>
      <c r="N16" s="135"/>
      <c r="O16" s="135"/>
      <c r="P16" s="135"/>
      <c r="Q16" s="135"/>
      <c r="R16" s="135"/>
      <c r="S16" s="135"/>
      <c r="T16" s="135"/>
      <c r="U16" s="135"/>
      <c r="V16" s="135"/>
      <c r="W16" s="135"/>
      <c r="X16" s="135"/>
      <c r="Y16" s="135"/>
      <c r="Z16" s="135"/>
    </row>
    <row r="17" spans="1:26" ht="15" customHeight="1">
      <c r="A17" s="135" t="s">
        <v>570</v>
      </c>
      <c r="B17" s="138">
        <f>B11</f>
        <v>73.880000000000109</v>
      </c>
      <c r="C17" s="138">
        <f>C11</f>
        <v>22589.53</v>
      </c>
      <c r="D17" s="138">
        <f>D11</f>
        <v>32068.489999999976</v>
      </c>
      <c r="E17" s="138">
        <f>E11</f>
        <v>30257.96</v>
      </c>
      <c r="F17" s="138">
        <f>F11</f>
        <v>84989.859999999986</v>
      </c>
      <c r="G17" s="135"/>
      <c r="H17" s="135"/>
      <c r="I17" s="135"/>
      <c r="J17" s="135"/>
      <c r="K17" s="135"/>
      <c r="L17" s="135"/>
      <c r="M17" s="135"/>
      <c r="N17" s="135"/>
      <c r="O17" s="135"/>
      <c r="P17" s="135"/>
      <c r="Q17" s="135"/>
      <c r="R17" s="135"/>
      <c r="S17" s="135"/>
      <c r="T17" s="135"/>
      <c r="U17" s="135"/>
      <c r="V17" s="135"/>
      <c r="W17" s="135"/>
      <c r="X17" s="135"/>
      <c r="Y17" s="135"/>
      <c r="Z17" s="135"/>
    </row>
    <row r="18" spans="1:26" ht="15" customHeight="1">
      <c r="A18" s="135" t="s">
        <v>571</v>
      </c>
      <c r="B18" s="138">
        <f>SUMIF('Monthly_P&amp;L'!$C$4:$AG$4,B$15,'Monthly_P&amp;L'!$C$52:$AG$52)</f>
        <v>0</v>
      </c>
      <c r="C18" s="138">
        <f>SUMIF('Monthly_P&amp;L'!$C$4:$AG$4,C$15,'Monthly_P&amp;L'!$C$52:$AG$52)</f>
        <v>5875</v>
      </c>
      <c r="D18" s="138">
        <f>SUMIF('Monthly_P&amp;L'!$C$4:$AG$4,D$15,'Monthly_P&amp;L'!$C$52:$AG$52)</f>
        <v>0</v>
      </c>
      <c r="E18" s="138">
        <f>SUMIF('Monthly_P&amp;L'!$C$4:$AG$4,E$15,'Monthly_P&amp;L'!$C$52:$AG$52)</f>
        <v>0</v>
      </c>
      <c r="F18" s="138">
        <f>SUM(B18:E18)</f>
        <v>5875</v>
      </c>
      <c r="G18" s="135"/>
      <c r="H18" s="135"/>
      <c r="I18" s="135"/>
      <c r="J18" s="135"/>
      <c r="K18" s="135"/>
      <c r="L18" s="135"/>
      <c r="M18" s="135"/>
      <c r="N18" s="135"/>
      <c r="O18" s="135"/>
      <c r="P18" s="135"/>
      <c r="Q18" s="135"/>
      <c r="R18" s="135"/>
      <c r="S18" s="135"/>
      <c r="T18" s="135"/>
      <c r="U18" s="135"/>
      <c r="V18" s="135"/>
      <c r="W18" s="135"/>
      <c r="X18" s="135"/>
      <c r="Y18" s="135"/>
      <c r="Z18" s="135"/>
    </row>
    <row r="19" spans="1:26" ht="15" customHeight="1">
      <c r="A19" s="135" t="s">
        <v>364</v>
      </c>
      <c r="B19" s="138">
        <f>SUMIF('Monthly_P&amp;L'!$C$4:$AG$4,B$15,'Monthly_P&amp;L'!$C$51:$AG$51)</f>
        <v>0</v>
      </c>
      <c r="C19" s="138">
        <f>SUMIF('Monthly_P&amp;L'!$C$4:$AG$4,C$15,'Monthly_P&amp;L'!$C$51:$AG$51)</f>
        <v>15150</v>
      </c>
      <c r="D19" s="138">
        <f>SUMIF('Monthly_P&amp;L'!$C$4:$AG$4,D$15,'Monthly_P&amp;L'!$C$51:$AG$51)</f>
        <v>19356.25</v>
      </c>
      <c r="E19" s="138">
        <f>SUMIF('Monthly_P&amp;L'!$C$4:$AG$4,E$15,'Monthly_P&amp;L'!$C$51:$AG$51)</f>
        <v>21340.5</v>
      </c>
      <c r="F19" s="138">
        <f>SUM(B19:E19)</f>
        <v>55846.75</v>
      </c>
      <c r="G19" s="135"/>
      <c r="H19" s="135"/>
      <c r="I19" s="135"/>
      <c r="J19" s="135"/>
      <c r="K19" s="135"/>
      <c r="L19" s="135"/>
      <c r="M19" s="135"/>
      <c r="N19" s="135"/>
      <c r="O19" s="135"/>
      <c r="P19" s="135"/>
      <c r="Q19" s="135"/>
      <c r="R19" s="135"/>
      <c r="S19" s="135"/>
      <c r="T19" s="135"/>
      <c r="U19" s="135"/>
      <c r="V19" s="135"/>
      <c r="W19" s="135"/>
      <c r="X19" s="135"/>
      <c r="Y19" s="135"/>
      <c r="Z19" s="135"/>
    </row>
    <row r="20" spans="1:26" ht="15" customHeight="1">
      <c r="A20" s="139" t="s">
        <v>572</v>
      </c>
      <c r="B20" s="140">
        <f>B17+B18-B19</f>
        <v>73.880000000000109</v>
      </c>
      <c r="C20" s="140">
        <f>C17+C18-C19</f>
        <v>13314.529999999999</v>
      </c>
      <c r="D20" s="140">
        <f>D17+D18-D19</f>
        <v>12712.239999999976</v>
      </c>
      <c r="E20" s="140">
        <f>E17+E18-E19</f>
        <v>8917.4599999999991</v>
      </c>
      <c r="F20" s="140">
        <f>SUM(B20:E20)</f>
        <v>35018.109999999971</v>
      </c>
      <c r="G20" s="135"/>
      <c r="H20" s="135"/>
      <c r="I20" s="135"/>
      <c r="J20" s="135"/>
      <c r="K20" s="135"/>
      <c r="L20" s="135"/>
      <c r="M20" s="135"/>
      <c r="N20" s="135"/>
      <c r="O20" s="135"/>
      <c r="P20" s="135"/>
      <c r="Q20" s="135"/>
      <c r="R20" s="135"/>
      <c r="S20" s="135"/>
      <c r="T20" s="135"/>
      <c r="U20" s="135"/>
      <c r="V20" s="135"/>
      <c r="W20" s="135"/>
      <c r="X20" s="135"/>
      <c r="Y20" s="135"/>
      <c r="Z20" s="135"/>
    </row>
    <row r="21" spans="1:26" ht="15" customHeight="1">
      <c r="A21" s="139" t="s">
        <v>573</v>
      </c>
      <c r="B21" s="140">
        <f>B16+B20</f>
        <v>73.880000000000109</v>
      </c>
      <c r="C21" s="140">
        <f>C16+C20</f>
        <v>13388.41</v>
      </c>
      <c r="D21" s="140">
        <f>D16+D20</f>
        <v>26100.649999999976</v>
      </c>
      <c r="E21" s="140">
        <f>E16+E20</f>
        <v>35018.109999999971</v>
      </c>
      <c r="F21" s="140">
        <f>E21</f>
        <v>35018.109999999971</v>
      </c>
      <c r="G21" s="135"/>
      <c r="H21" s="135"/>
      <c r="I21" s="135"/>
      <c r="J21" s="135"/>
      <c r="K21" s="135"/>
      <c r="L21" s="135"/>
      <c r="M21" s="135"/>
      <c r="N21" s="135"/>
      <c r="O21" s="135"/>
      <c r="P21" s="135"/>
      <c r="Q21" s="135"/>
      <c r="R21" s="135"/>
      <c r="S21" s="135"/>
      <c r="T21" s="135"/>
      <c r="U21" s="135"/>
      <c r="V21" s="135"/>
      <c r="W21" s="135"/>
      <c r="X21" s="135"/>
      <c r="Y21" s="135"/>
      <c r="Z21" s="135"/>
    </row>
    <row r="22" spans="1:26" ht="15" customHeight="1">
      <c r="A22" s="135"/>
      <c r="B22" s="138"/>
      <c r="C22" s="138"/>
      <c r="D22" s="138"/>
      <c r="E22" s="138"/>
      <c r="F22" s="138"/>
      <c r="G22" s="135"/>
      <c r="H22" s="135"/>
      <c r="I22" s="135"/>
      <c r="J22" s="135"/>
      <c r="K22" s="135"/>
      <c r="L22" s="135"/>
      <c r="M22" s="135"/>
      <c r="N22" s="135"/>
      <c r="O22" s="135"/>
      <c r="P22" s="135"/>
      <c r="Q22" s="135"/>
      <c r="R22" s="135"/>
      <c r="S22" s="135"/>
      <c r="T22" s="135"/>
      <c r="U22" s="135"/>
      <c r="V22" s="135"/>
      <c r="W22" s="135"/>
      <c r="X22" s="135"/>
      <c r="Y22" s="135"/>
      <c r="Z22" s="135"/>
    </row>
    <row r="23" spans="1:26" ht="15" customHeight="1">
      <c r="A23" s="135"/>
      <c r="B23" s="138"/>
      <c r="C23" s="138"/>
      <c r="D23" s="138"/>
      <c r="E23" s="138"/>
      <c r="F23" s="138"/>
      <c r="G23" s="135"/>
      <c r="H23" s="135"/>
      <c r="I23" s="135"/>
      <c r="J23" s="135"/>
      <c r="K23" s="135"/>
      <c r="L23" s="135"/>
      <c r="M23" s="135"/>
      <c r="N23" s="135"/>
      <c r="O23" s="135"/>
      <c r="P23" s="135"/>
      <c r="Q23" s="135"/>
      <c r="R23" s="135"/>
      <c r="S23" s="135"/>
      <c r="T23" s="135"/>
      <c r="U23" s="135"/>
      <c r="V23" s="135"/>
      <c r="W23" s="135"/>
      <c r="X23" s="135"/>
      <c r="Y23" s="135"/>
      <c r="Z23" s="135"/>
    </row>
    <row r="24" spans="1:26" ht="15" customHeight="1">
      <c r="A24" s="137" t="s">
        <v>574</v>
      </c>
      <c r="B24" s="142" t="s">
        <v>559</v>
      </c>
      <c r="C24" s="142" t="s">
        <v>560</v>
      </c>
      <c r="D24" s="142" t="s">
        <v>561</v>
      </c>
      <c r="E24" s="142" t="s">
        <v>562</v>
      </c>
      <c r="F24" s="142" t="s">
        <v>575</v>
      </c>
      <c r="G24" s="135"/>
      <c r="H24" s="135"/>
      <c r="I24" s="135"/>
      <c r="J24" s="135"/>
      <c r="K24" s="135"/>
      <c r="L24" s="135"/>
      <c r="M24" s="135"/>
      <c r="N24" s="135"/>
      <c r="O24" s="135"/>
      <c r="P24" s="135"/>
      <c r="Q24" s="135"/>
      <c r="R24" s="135"/>
      <c r="S24" s="135"/>
      <c r="T24" s="135"/>
      <c r="U24" s="135"/>
      <c r="V24" s="135"/>
      <c r="W24" s="135"/>
      <c r="X24" s="135"/>
      <c r="Y24" s="135"/>
      <c r="Z24" s="135"/>
    </row>
    <row r="25" spans="1:26" ht="15" customHeight="1">
      <c r="A25" s="135" t="s">
        <v>576</v>
      </c>
      <c r="B25" s="138">
        <f>B21</f>
        <v>73.880000000000109</v>
      </c>
      <c r="C25" s="138">
        <f>C21</f>
        <v>13388.41</v>
      </c>
      <c r="D25" s="138">
        <f>D21</f>
        <v>26100.649999999976</v>
      </c>
      <c r="E25" s="138">
        <f>E21</f>
        <v>35018.109999999971</v>
      </c>
      <c r="F25" s="138">
        <f>E25</f>
        <v>35018.109999999971</v>
      </c>
      <c r="G25" s="135"/>
      <c r="H25" s="135"/>
      <c r="I25" s="135"/>
      <c r="J25" s="135"/>
      <c r="K25" s="135"/>
      <c r="L25" s="135"/>
      <c r="M25" s="135"/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35"/>
      <c r="Y25" s="135"/>
      <c r="Z25" s="135"/>
    </row>
    <row r="26" spans="1:26" ht="15" customHeight="1">
      <c r="A26" s="135" t="s">
        <v>577</v>
      </c>
      <c r="B26" s="138">
        <f>Inventory_Rollforward!B20</f>
        <v>0</v>
      </c>
      <c r="C26" s="138">
        <f>Inventory_Rollforward!C20</f>
        <v>0</v>
      </c>
      <c r="D26" s="138">
        <f>Inventory_Rollforward!D20</f>
        <v>0</v>
      </c>
      <c r="E26" s="138">
        <f>Inventory_Rollforward!E20</f>
        <v>0</v>
      </c>
      <c r="F26" s="138">
        <f>E26</f>
        <v>0</v>
      </c>
      <c r="G26" s="135"/>
      <c r="H26" s="135"/>
      <c r="I26" s="135"/>
      <c r="J26" s="135"/>
      <c r="K26" s="135"/>
      <c r="L26" s="135"/>
      <c r="M26" s="135"/>
      <c r="N26" s="135"/>
      <c r="O26" s="135"/>
      <c r="P26" s="135"/>
      <c r="Q26" s="135"/>
      <c r="R26" s="135"/>
      <c r="S26" s="135"/>
      <c r="T26" s="135"/>
      <c r="U26" s="135"/>
      <c r="V26" s="135"/>
      <c r="W26" s="135"/>
      <c r="X26" s="135"/>
      <c r="Y26" s="135"/>
      <c r="Z26" s="135"/>
    </row>
    <row r="27" spans="1:26" ht="15" customHeight="1">
      <c r="A27" s="135" t="s">
        <v>578</v>
      </c>
      <c r="B27" s="138">
        <f>Fixed_Asset_Depreciation!B11</f>
        <v>4039.4</v>
      </c>
      <c r="C27" s="138">
        <f>Fixed_Asset_Depreciation!C11</f>
        <v>3267.8</v>
      </c>
      <c r="D27" s="138">
        <f>Fixed_Asset_Depreciation!D11</f>
        <v>2496.1999999999998</v>
      </c>
      <c r="E27" s="138">
        <f>Fixed_Asset_Depreciation!E11</f>
        <v>2046.1</v>
      </c>
      <c r="F27" s="138">
        <f>E27</f>
        <v>2046.1</v>
      </c>
      <c r="G27" s="135"/>
      <c r="H27" s="135"/>
      <c r="I27" s="135"/>
      <c r="J27" s="135"/>
      <c r="K27" s="135"/>
      <c r="L27" s="135"/>
      <c r="M27" s="135"/>
      <c r="N27" s="135"/>
      <c r="O27" s="135"/>
      <c r="P27" s="135"/>
      <c r="Q27" s="135"/>
      <c r="R27" s="135"/>
      <c r="S27" s="135"/>
      <c r="T27" s="135"/>
      <c r="U27" s="135"/>
      <c r="V27" s="135"/>
      <c r="W27" s="135"/>
      <c r="X27" s="135"/>
      <c r="Y27" s="135"/>
      <c r="Z27" s="135"/>
    </row>
    <row r="28" spans="1:26" ht="15" customHeight="1">
      <c r="A28" s="139" t="s">
        <v>579</v>
      </c>
      <c r="B28" s="140">
        <f>SUM(B25:B27)</f>
        <v>4113.2800000000007</v>
      </c>
      <c r="C28" s="140">
        <f>SUM(C25:C27)</f>
        <v>16656.21</v>
      </c>
      <c r="D28" s="140">
        <f>SUM(D25:D27)</f>
        <v>28596.849999999977</v>
      </c>
      <c r="E28" s="140">
        <f>SUM(E25:E27)</f>
        <v>37064.20999999997</v>
      </c>
      <c r="F28" s="140">
        <f>E28</f>
        <v>37064.20999999997</v>
      </c>
      <c r="G28" s="135"/>
      <c r="H28" s="135"/>
      <c r="I28" s="135"/>
      <c r="J28" s="135"/>
      <c r="K28" s="135"/>
      <c r="L28" s="135"/>
      <c r="M28" s="135"/>
      <c r="N28" s="135"/>
      <c r="O28" s="135"/>
      <c r="P28" s="135"/>
      <c r="Q28" s="135"/>
      <c r="R28" s="135"/>
      <c r="S28" s="135"/>
      <c r="T28" s="135"/>
      <c r="U28" s="135"/>
      <c r="V28" s="135"/>
      <c r="W28" s="135"/>
      <c r="X28" s="135"/>
      <c r="Y28" s="135"/>
      <c r="Z28" s="135"/>
    </row>
    <row r="29" spans="1:26" ht="15" customHeight="1">
      <c r="A29" s="135"/>
      <c r="B29" s="138"/>
      <c r="C29" s="138"/>
      <c r="D29" s="138"/>
      <c r="E29" s="138"/>
      <c r="F29" s="138"/>
      <c r="G29" s="135"/>
      <c r="H29" s="135"/>
      <c r="I29" s="135"/>
      <c r="J29" s="135"/>
      <c r="K29" s="135"/>
      <c r="L29" s="135"/>
      <c r="M29" s="135"/>
      <c r="N29" s="135"/>
      <c r="O29" s="135"/>
      <c r="P29" s="135"/>
      <c r="Q29" s="135"/>
      <c r="R29" s="135"/>
      <c r="S29" s="135"/>
      <c r="T29" s="135"/>
      <c r="U29" s="135"/>
      <c r="V29" s="135"/>
      <c r="W29" s="135"/>
      <c r="X29" s="135"/>
      <c r="Y29" s="135"/>
      <c r="Z29" s="135"/>
    </row>
    <row r="30" spans="1:26" ht="15" customHeight="1">
      <c r="A30" s="139" t="s">
        <v>580</v>
      </c>
      <c r="B30" s="140">
        <f>B18</f>
        <v>0</v>
      </c>
      <c r="C30" s="140">
        <f>B18+C18</f>
        <v>5875</v>
      </c>
      <c r="D30" s="140">
        <f>B18+C18+D18</f>
        <v>5875</v>
      </c>
      <c r="E30" s="140">
        <f>B18+C18+D18+E18</f>
        <v>5875</v>
      </c>
      <c r="F30" s="140">
        <f>E30</f>
        <v>5875</v>
      </c>
      <c r="G30" s="135"/>
      <c r="H30" s="135"/>
      <c r="I30" s="135"/>
      <c r="J30" s="135"/>
      <c r="K30" s="135"/>
      <c r="L30" s="135"/>
      <c r="M30" s="135"/>
      <c r="N30" s="135"/>
      <c r="O30" s="135"/>
      <c r="P30" s="135"/>
      <c r="Q30" s="135"/>
      <c r="R30" s="135"/>
      <c r="S30" s="135"/>
      <c r="T30" s="135"/>
      <c r="U30" s="135"/>
      <c r="V30" s="135"/>
      <c r="W30" s="135"/>
      <c r="X30" s="135"/>
      <c r="Y30" s="135"/>
      <c r="Z30" s="135"/>
    </row>
    <row r="31" spans="1:26" ht="15" customHeight="1">
      <c r="A31" s="139" t="s">
        <v>581</v>
      </c>
      <c r="B31" s="140">
        <f>B19</f>
        <v>0</v>
      </c>
      <c r="C31" s="140">
        <f>B19+C19</f>
        <v>15150</v>
      </c>
      <c r="D31" s="140">
        <f>B19+C19+D19</f>
        <v>34506.25</v>
      </c>
      <c r="E31" s="140">
        <f>B19+C19+D19+E19</f>
        <v>55846.75</v>
      </c>
      <c r="F31" s="140">
        <f>E31</f>
        <v>55846.75</v>
      </c>
      <c r="G31" s="135"/>
      <c r="H31" s="135"/>
      <c r="I31" s="135"/>
      <c r="J31" s="135"/>
      <c r="K31" s="135"/>
      <c r="L31" s="135"/>
      <c r="M31" s="135"/>
      <c r="N31" s="135"/>
      <c r="O31" s="135"/>
      <c r="P31" s="135"/>
      <c r="Q31" s="135"/>
      <c r="R31" s="135"/>
      <c r="S31" s="135"/>
      <c r="T31" s="135"/>
      <c r="U31" s="135"/>
      <c r="V31" s="135"/>
      <c r="W31" s="135"/>
      <c r="X31" s="135"/>
      <c r="Y31" s="135"/>
      <c r="Z31" s="135"/>
    </row>
    <row r="32" spans="1:26" ht="15" customHeight="1">
      <c r="A32" s="139" t="s">
        <v>582</v>
      </c>
      <c r="B32" s="140">
        <f>B17</f>
        <v>73.880000000000109</v>
      </c>
      <c r="C32" s="140">
        <f>B17+C17</f>
        <v>22663.41</v>
      </c>
      <c r="D32" s="140">
        <f>B17+C17+D17</f>
        <v>54731.89999999998</v>
      </c>
      <c r="E32" s="140">
        <f>B17+C17+D17+E17</f>
        <v>84989.859999999986</v>
      </c>
      <c r="F32" s="140">
        <f>E32</f>
        <v>84989.859999999986</v>
      </c>
      <c r="G32" s="135"/>
      <c r="H32" s="135"/>
      <c r="I32" s="135"/>
      <c r="J32" s="135"/>
      <c r="K32" s="135"/>
      <c r="L32" s="135"/>
      <c r="M32" s="135"/>
      <c r="N32" s="135"/>
      <c r="O32" s="135"/>
      <c r="P32" s="135"/>
      <c r="Q32" s="135"/>
      <c r="R32" s="135"/>
      <c r="S32" s="135"/>
      <c r="T32" s="135"/>
      <c r="U32" s="135"/>
      <c r="V32" s="135"/>
      <c r="W32" s="135"/>
      <c r="X32" s="135"/>
      <c r="Y32" s="135"/>
      <c r="Z32" s="135"/>
    </row>
    <row r="33" spans="1:26" ht="15" customHeight="1">
      <c r="A33" s="135"/>
      <c r="B33" s="135"/>
      <c r="C33" s="135"/>
      <c r="D33" s="135"/>
      <c r="E33" s="135"/>
      <c r="F33" s="135"/>
      <c r="G33" s="135"/>
      <c r="H33" s="135"/>
      <c r="I33" s="135"/>
      <c r="J33" s="135"/>
      <c r="K33" s="135"/>
      <c r="L33" s="135"/>
      <c r="M33" s="135"/>
      <c r="N33" s="135"/>
      <c r="O33" s="135"/>
      <c r="P33" s="135"/>
      <c r="Q33" s="135"/>
      <c r="R33" s="135"/>
      <c r="S33" s="135"/>
      <c r="T33" s="135"/>
      <c r="U33" s="135"/>
      <c r="V33" s="135"/>
      <c r="W33" s="135"/>
      <c r="X33" s="135"/>
      <c r="Y33" s="135"/>
      <c r="Z33" s="135"/>
    </row>
    <row r="34" spans="1:26" ht="36" customHeight="1">
      <c r="A34" s="143" t="s">
        <v>583</v>
      </c>
      <c r="B34" s="306" t="s">
        <v>584</v>
      </c>
      <c r="C34" s="306"/>
      <c r="D34" s="306"/>
      <c r="E34" s="306"/>
      <c r="F34" s="306"/>
      <c r="G34" s="135"/>
      <c r="H34" s="135"/>
      <c r="I34" s="135"/>
      <c r="J34" s="135"/>
      <c r="K34" s="135"/>
      <c r="L34" s="135"/>
      <c r="M34" s="135"/>
      <c r="N34" s="135"/>
      <c r="O34" s="135"/>
      <c r="P34" s="135"/>
      <c r="Q34" s="135"/>
      <c r="R34" s="135"/>
      <c r="S34" s="135"/>
      <c r="T34" s="135"/>
      <c r="U34" s="135"/>
      <c r="V34" s="135"/>
      <c r="W34" s="135"/>
      <c r="X34" s="135"/>
      <c r="Y34" s="135"/>
      <c r="Z34" s="135"/>
    </row>
    <row r="35" spans="1:26" ht="60.75" customHeight="1">
      <c r="A35" s="143" t="s">
        <v>585</v>
      </c>
      <c r="B35" s="307" t="s">
        <v>586</v>
      </c>
      <c r="C35" s="307"/>
      <c r="D35" s="307"/>
      <c r="E35" s="307"/>
      <c r="F35" s="307"/>
      <c r="G35" s="135"/>
      <c r="H35" s="135"/>
      <c r="I35" s="135"/>
      <c r="J35" s="135"/>
      <c r="K35" s="135"/>
      <c r="L35" s="135"/>
      <c r="M35" s="135"/>
      <c r="N35" s="135"/>
      <c r="O35" s="135"/>
      <c r="P35" s="135"/>
      <c r="Q35" s="135"/>
      <c r="R35" s="135"/>
      <c r="S35" s="135"/>
      <c r="T35" s="135"/>
      <c r="U35" s="135"/>
      <c r="V35" s="135"/>
      <c r="W35" s="135"/>
      <c r="X35" s="135"/>
      <c r="Y35" s="135"/>
      <c r="Z35" s="135"/>
    </row>
    <row r="36" spans="1:26" ht="45" customHeight="1">
      <c r="A36" s="143" t="s">
        <v>587</v>
      </c>
      <c r="B36" s="307" t="s">
        <v>588</v>
      </c>
      <c r="C36" s="307"/>
      <c r="D36" s="307"/>
      <c r="E36" s="307"/>
      <c r="F36" s="307"/>
      <c r="G36" s="135"/>
      <c r="H36" s="135"/>
      <c r="I36" s="135"/>
      <c r="J36" s="135"/>
      <c r="K36" s="135"/>
      <c r="L36" s="135"/>
      <c r="M36" s="135"/>
      <c r="N36" s="135"/>
      <c r="O36" s="135"/>
      <c r="P36" s="135"/>
      <c r="Q36" s="135"/>
      <c r="R36" s="135"/>
      <c r="S36" s="135"/>
      <c r="T36" s="135"/>
      <c r="U36" s="135"/>
      <c r="V36" s="135"/>
      <c r="W36" s="135"/>
      <c r="X36" s="135"/>
      <c r="Y36" s="135"/>
      <c r="Z36" s="135"/>
    </row>
    <row r="37" spans="1:26" ht="15" customHeight="1">
      <c r="A37" s="135"/>
      <c r="B37" s="135"/>
      <c r="C37" s="135"/>
      <c r="D37" s="135"/>
      <c r="E37" s="135"/>
      <c r="F37" s="135"/>
      <c r="G37" s="135"/>
      <c r="H37" s="135"/>
      <c r="I37" s="135"/>
      <c r="J37" s="135"/>
      <c r="K37" s="135"/>
      <c r="L37" s="135"/>
      <c r="M37" s="135"/>
      <c r="N37" s="135"/>
      <c r="O37" s="135"/>
      <c r="P37" s="135"/>
      <c r="Q37" s="135"/>
      <c r="R37" s="135"/>
      <c r="S37" s="135"/>
      <c r="T37" s="135"/>
      <c r="U37" s="135"/>
      <c r="V37" s="135"/>
      <c r="W37" s="135"/>
      <c r="X37" s="135"/>
      <c r="Y37" s="135"/>
      <c r="Z37" s="135"/>
    </row>
    <row r="38" spans="1:26" ht="15" customHeight="1">
      <c r="A38" s="135"/>
      <c r="B38" s="135"/>
      <c r="C38" s="135"/>
      <c r="D38" s="135"/>
      <c r="E38" s="135"/>
      <c r="F38" s="135"/>
      <c r="G38" s="135"/>
      <c r="H38" s="135"/>
      <c r="I38" s="135"/>
      <c r="J38" s="135"/>
      <c r="K38" s="135"/>
      <c r="L38" s="135"/>
      <c r="M38" s="135"/>
      <c r="N38" s="135"/>
      <c r="O38" s="135"/>
      <c r="P38" s="135"/>
      <c r="Q38" s="135"/>
      <c r="R38" s="135"/>
      <c r="S38" s="135"/>
      <c r="T38" s="135"/>
      <c r="U38" s="135"/>
      <c r="V38" s="135"/>
      <c r="W38" s="135"/>
      <c r="X38" s="135"/>
      <c r="Y38" s="135"/>
      <c r="Z38" s="135"/>
    </row>
    <row r="39" spans="1:26" ht="15" customHeight="1">
      <c r="A39" s="135"/>
      <c r="B39" s="135"/>
      <c r="C39" s="135"/>
      <c r="D39" s="135"/>
      <c r="E39" s="135"/>
      <c r="F39" s="135"/>
      <c r="G39" s="135"/>
      <c r="H39" s="135"/>
      <c r="I39" s="135"/>
      <c r="J39" s="135"/>
      <c r="K39" s="135"/>
      <c r="L39" s="135"/>
      <c r="M39" s="135"/>
      <c r="N39" s="135"/>
      <c r="O39" s="135"/>
      <c r="P39" s="135"/>
      <c r="Q39" s="135"/>
      <c r="R39" s="135"/>
      <c r="S39" s="135"/>
      <c r="T39" s="135"/>
      <c r="U39" s="135"/>
      <c r="V39" s="135"/>
      <c r="W39" s="135"/>
      <c r="X39" s="135"/>
      <c r="Y39" s="135"/>
      <c r="Z39" s="135"/>
    </row>
    <row r="40" spans="1:26" ht="15" customHeight="1">
      <c r="A40" s="135"/>
      <c r="B40" s="135"/>
      <c r="C40" s="135"/>
      <c r="D40" s="135"/>
      <c r="E40" s="135"/>
      <c r="F40" s="135"/>
      <c r="G40" s="135"/>
      <c r="H40" s="135"/>
      <c r="I40" s="135"/>
      <c r="J40" s="135"/>
      <c r="K40" s="135"/>
      <c r="L40" s="135"/>
      <c r="M40" s="135"/>
      <c r="N40" s="135"/>
      <c r="O40" s="135"/>
      <c r="P40" s="135"/>
      <c r="Q40" s="135"/>
      <c r="R40" s="135"/>
      <c r="S40" s="135"/>
      <c r="T40" s="135"/>
      <c r="U40" s="135"/>
      <c r="V40" s="135"/>
      <c r="W40" s="135"/>
      <c r="X40" s="135"/>
      <c r="Y40" s="135"/>
      <c r="Z40" s="135"/>
    </row>
    <row r="41" spans="1:26" ht="15" customHeight="1">
      <c r="A41" s="135"/>
      <c r="B41" s="135"/>
      <c r="C41" s="135"/>
      <c r="D41" s="135"/>
      <c r="E41" s="135"/>
      <c r="F41" s="135"/>
      <c r="G41" s="135"/>
      <c r="H41" s="135"/>
      <c r="I41" s="135"/>
      <c r="J41" s="135"/>
      <c r="K41" s="135"/>
      <c r="L41" s="135"/>
      <c r="M41" s="135"/>
      <c r="N41" s="135"/>
      <c r="O41" s="135"/>
      <c r="P41" s="135"/>
      <c r="Q41" s="135"/>
      <c r="R41" s="135"/>
      <c r="S41" s="135"/>
      <c r="T41" s="135"/>
      <c r="U41" s="135"/>
      <c r="V41" s="135"/>
      <c r="W41" s="135"/>
      <c r="X41" s="135"/>
      <c r="Y41" s="135"/>
      <c r="Z41" s="135"/>
    </row>
    <row r="42" spans="1:26" ht="15" customHeight="1">
      <c r="A42" s="135"/>
      <c r="B42" s="135"/>
      <c r="C42" s="135"/>
      <c r="D42" s="135"/>
      <c r="E42" s="135"/>
      <c r="F42" s="135"/>
      <c r="G42" s="135"/>
      <c r="H42" s="135"/>
      <c r="I42" s="135"/>
      <c r="J42" s="135"/>
      <c r="K42" s="135"/>
      <c r="L42" s="135"/>
      <c r="M42" s="135"/>
      <c r="N42" s="135"/>
      <c r="O42" s="135"/>
      <c r="P42" s="135"/>
      <c r="Q42" s="135"/>
      <c r="R42" s="135"/>
      <c r="S42" s="135"/>
      <c r="T42" s="135"/>
      <c r="U42" s="135"/>
      <c r="V42" s="135"/>
      <c r="W42" s="135"/>
      <c r="X42" s="135"/>
      <c r="Y42" s="135"/>
      <c r="Z42" s="135"/>
    </row>
    <row r="43" spans="1:26" ht="15" customHeight="1">
      <c r="A43" s="135"/>
      <c r="B43" s="135"/>
      <c r="C43" s="135"/>
      <c r="D43" s="135"/>
      <c r="E43" s="135"/>
      <c r="F43" s="135"/>
      <c r="G43" s="135"/>
      <c r="H43" s="135"/>
      <c r="I43" s="135"/>
      <c r="J43" s="135"/>
      <c r="K43" s="135"/>
      <c r="L43" s="135"/>
      <c r="M43" s="135"/>
      <c r="N43" s="135"/>
      <c r="O43" s="135"/>
      <c r="P43" s="135"/>
      <c r="Q43" s="135"/>
      <c r="R43" s="135"/>
      <c r="S43" s="135"/>
      <c r="T43" s="135"/>
      <c r="U43" s="135"/>
      <c r="V43" s="135"/>
      <c r="W43" s="135"/>
      <c r="X43" s="135"/>
      <c r="Y43" s="135"/>
      <c r="Z43" s="135"/>
    </row>
    <row r="44" spans="1:26" ht="15" customHeight="1">
      <c r="A44" s="135"/>
      <c r="B44" s="135"/>
      <c r="C44" s="135"/>
      <c r="D44" s="135"/>
      <c r="E44" s="135"/>
      <c r="F44" s="135"/>
      <c r="G44" s="135"/>
      <c r="H44" s="135"/>
      <c r="I44" s="135"/>
      <c r="J44" s="135"/>
      <c r="K44" s="135"/>
      <c r="L44" s="135"/>
      <c r="M44" s="135"/>
      <c r="N44" s="135"/>
      <c r="O44" s="135"/>
      <c r="P44" s="135"/>
      <c r="Q44" s="135"/>
      <c r="R44" s="135"/>
      <c r="S44" s="135"/>
      <c r="T44" s="135"/>
      <c r="U44" s="135"/>
      <c r="V44" s="135"/>
      <c r="W44" s="135"/>
      <c r="X44" s="135"/>
      <c r="Y44" s="135"/>
      <c r="Z44" s="135"/>
    </row>
    <row r="45" spans="1:26" ht="15" customHeight="1">
      <c r="A45" s="135"/>
      <c r="B45" s="135"/>
      <c r="C45" s="135"/>
      <c r="D45" s="135"/>
      <c r="E45" s="135"/>
      <c r="F45" s="135"/>
      <c r="G45" s="135"/>
      <c r="H45" s="135"/>
      <c r="I45" s="135"/>
      <c r="J45" s="135"/>
      <c r="K45" s="135"/>
      <c r="L45" s="135"/>
      <c r="M45" s="135"/>
      <c r="N45" s="135"/>
      <c r="O45" s="135"/>
      <c r="P45" s="135"/>
      <c r="Q45" s="135"/>
      <c r="R45" s="135"/>
      <c r="S45" s="135"/>
      <c r="T45" s="135"/>
      <c r="U45" s="135"/>
      <c r="V45" s="135"/>
      <c r="W45" s="135"/>
      <c r="X45" s="135"/>
      <c r="Y45" s="135"/>
      <c r="Z45" s="135"/>
    </row>
    <row r="46" spans="1:26" ht="15" customHeight="1">
      <c r="A46" s="135"/>
      <c r="B46" s="135"/>
      <c r="C46" s="135"/>
      <c r="D46" s="135"/>
      <c r="E46" s="135"/>
      <c r="F46" s="135"/>
      <c r="G46" s="135"/>
      <c r="H46" s="135"/>
      <c r="I46" s="135"/>
      <c r="J46" s="135"/>
      <c r="K46" s="135"/>
      <c r="L46" s="135"/>
      <c r="M46" s="135"/>
      <c r="N46" s="135"/>
      <c r="O46" s="135"/>
      <c r="P46" s="135"/>
      <c r="Q46" s="135"/>
      <c r="R46" s="135"/>
      <c r="S46" s="135"/>
      <c r="T46" s="135"/>
      <c r="U46" s="135"/>
      <c r="V46" s="135"/>
      <c r="W46" s="135"/>
      <c r="X46" s="135"/>
      <c r="Y46" s="135"/>
      <c r="Z46" s="135"/>
    </row>
    <row r="47" spans="1:26" ht="15" customHeight="1">
      <c r="A47" s="135"/>
      <c r="B47" s="135"/>
      <c r="C47" s="135"/>
      <c r="D47" s="135"/>
      <c r="E47" s="135"/>
      <c r="F47" s="135"/>
      <c r="G47" s="135"/>
      <c r="H47" s="135"/>
      <c r="I47" s="135"/>
      <c r="J47" s="135"/>
      <c r="K47" s="135"/>
      <c r="L47" s="135"/>
      <c r="M47" s="135"/>
      <c r="N47" s="135"/>
      <c r="O47" s="135"/>
      <c r="P47" s="135"/>
      <c r="Q47" s="135"/>
      <c r="R47" s="135"/>
      <c r="S47" s="135"/>
      <c r="T47" s="135"/>
      <c r="U47" s="135"/>
      <c r="V47" s="135"/>
      <c r="W47" s="135"/>
      <c r="X47" s="135"/>
      <c r="Y47" s="135"/>
      <c r="Z47" s="135"/>
    </row>
    <row r="48" spans="1:26" ht="15" customHeight="1">
      <c r="A48" s="135"/>
      <c r="B48" s="135"/>
      <c r="C48" s="135"/>
      <c r="D48" s="135"/>
      <c r="E48" s="135"/>
      <c r="F48" s="135"/>
      <c r="G48" s="135"/>
      <c r="H48" s="135"/>
      <c r="I48" s="135"/>
      <c r="J48" s="135"/>
      <c r="K48" s="135"/>
      <c r="L48" s="135"/>
      <c r="M48" s="135"/>
      <c r="N48" s="135"/>
      <c r="O48" s="135"/>
      <c r="P48" s="135"/>
      <c r="Q48" s="135"/>
      <c r="R48" s="135"/>
      <c r="S48" s="135"/>
      <c r="T48" s="135"/>
      <c r="U48" s="135"/>
      <c r="V48" s="135"/>
      <c r="W48" s="135"/>
      <c r="X48" s="135"/>
      <c r="Y48" s="135"/>
      <c r="Z48" s="135"/>
    </row>
    <row r="49" spans="1:26" ht="15" customHeight="1">
      <c r="A49" s="135"/>
      <c r="B49" s="135"/>
      <c r="C49" s="135"/>
      <c r="D49" s="135"/>
      <c r="E49" s="135"/>
      <c r="F49" s="135"/>
      <c r="G49" s="135"/>
      <c r="H49" s="135"/>
      <c r="I49" s="135"/>
      <c r="J49" s="135"/>
      <c r="K49" s="135"/>
      <c r="L49" s="135"/>
      <c r="M49" s="135"/>
      <c r="N49" s="135"/>
      <c r="O49" s="135"/>
      <c r="P49" s="135"/>
      <c r="Q49" s="135"/>
      <c r="R49" s="135"/>
      <c r="S49" s="135"/>
      <c r="T49" s="135"/>
      <c r="U49" s="135"/>
      <c r="V49" s="135"/>
      <c r="W49" s="135"/>
      <c r="X49" s="135"/>
      <c r="Y49" s="135"/>
      <c r="Z49" s="135"/>
    </row>
    <row r="50" spans="1:26" ht="15" customHeight="1">
      <c r="A50" s="135"/>
      <c r="B50" s="135"/>
      <c r="C50" s="135"/>
      <c r="D50" s="135"/>
      <c r="E50" s="135"/>
      <c r="F50" s="135"/>
      <c r="G50" s="135"/>
      <c r="H50" s="135"/>
      <c r="I50" s="135"/>
      <c r="J50" s="135"/>
      <c r="K50" s="135"/>
      <c r="L50" s="135"/>
      <c r="M50" s="135"/>
      <c r="N50" s="135"/>
      <c r="O50" s="135"/>
      <c r="P50" s="135"/>
      <c r="Q50" s="135"/>
      <c r="R50" s="135"/>
      <c r="S50" s="135"/>
      <c r="T50" s="135"/>
      <c r="U50" s="135"/>
      <c r="V50" s="135"/>
      <c r="W50" s="135"/>
      <c r="X50" s="135"/>
      <c r="Y50" s="135"/>
      <c r="Z50" s="135"/>
    </row>
    <row r="51" spans="1:26" ht="15" customHeight="1">
      <c r="A51" s="135"/>
      <c r="B51" s="135"/>
      <c r="C51" s="135"/>
      <c r="D51" s="135"/>
      <c r="E51" s="135"/>
      <c r="F51" s="135"/>
      <c r="G51" s="135"/>
      <c r="H51" s="135"/>
      <c r="I51" s="135"/>
      <c r="J51" s="135"/>
      <c r="K51" s="135"/>
      <c r="L51" s="135"/>
      <c r="M51" s="135"/>
      <c r="N51" s="135"/>
      <c r="O51" s="135"/>
      <c r="P51" s="135"/>
      <c r="Q51" s="135"/>
      <c r="R51" s="135"/>
      <c r="S51" s="135"/>
      <c r="T51" s="135"/>
      <c r="U51" s="135"/>
      <c r="V51" s="135"/>
      <c r="W51" s="135"/>
      <c r="X51" s="135"/>
      <c r="Y51" s="135"/>
      <c r="Z51" s="135"/>
    </row>
    <row r="52" spans="1:26" ht="15" customHeight="1">
      <c r="A52" s="135"/>
      <c r="B52" s="135"/>
      <c r="C52" s="135"/>
      <c r="D52" s="135"/>
      <c r="E52" s="135"/>
      <c r="F52" s="135"/>
      <c r="G52" s="135"/>
      <c r="H52" s="135"/>
      <c r="I52" s="135"/>
      <c r="J52" s="135"/>
      <c r="K52" s="135"/>
      <c r="L52" s="135"/>
      <c r="M52" s="135"/>
      <c r="N52" s="135"/>
      <c r="O52" s="135"/>
      <c r="P52" s="135"/>
      <c r="Q52" s="135"/>
      <c r="R52" s="135"/>
      <c r="S52" s="135"/>
      <c r="T52" s="135"/>
      <c r="U52" s="135"/>
      <c r="V52" s="135"/>
      <c r="W52" s="135"/>
      <c r="X52" s="135"/>
      <c r="Y52" s="135"/>
      <c r="Z52" s="135"/>
    </row>
    <row r="53" spans="1:26" ht="15" customHeight="1">
      <c r="A53" s="135"/>
      <c r="B53" s="135"/>
      <c r="C53" s="135"/>
      <c r="D53" s="135"/>
      <c r="E53" s="135"/>
      <c r="F53" s="135"/>
      <c r="G53" s="135"/>
      <c r="H53" s="135"/>
      <c r="I53" s="135"/>
      <c r="J53" s="135"/>
      <c r="K53" s="135"/>
      <c r="L53" s="135"/>
      <c r="M53" s="135"/>
      <c r="N53" s="135"/>
      <c r="O53" s="135"/>
      <c r="P53" s="135"/>
      <c r="Q53" s="135"/>
      <c r="R53" s="135"/>
      <c r="S53" s="135"/>
      <c r="T53" s="135"/>
      <c r="U53" s="135"/>
      <c r="V53" s="135"/>
      <c r="W53" s="135"/>
      <c r="X53" s="135"/>
      <c r="Y53" s="135"/>
      <c r="Z53" s="135"/>
    </row>
    <row r="54" spans="1:26" ht="15" customHeight="1">
      <c r="A54" s="135"/>
      <c r="B54" s="135"/>
      <c r="C54" s="135"/>
      <c r="D54" s="135"/>
      <c r="E54" s="135"/>
      <c r="F54" s="135"/>
      <c r="G54" s="135"/>
      <c r="H54" s="135"/>
      <c r="I54" s="135"/>
      <c r="J54" s="135"/>
      <c r="K54" s="135"/>
      <c r="L54" s="135"/>
      <c r="M54" s="135"/>
      <c r="N54" s="135"/>
      <c r="O54" s="135"/>
      <c r="P54" s="135"/>
      <c r="Q54" s="135"/>
      <c r="R54" s="135"/>
      <c r="S54" s="135"/>
      <c r="T54" s="135"/>
      <c r="U54" s="135"/>
      <c r="V54" s="135"/>
      <c r="W54" s="135"/>
      <c r="X54" s="135"/>
      <c r="Y54" s="135"/>
      <c r="Z54" s="135"/>
    </row>
    <row r="55" spans="1:26" ht="15" customHeight="1">
      <c r="A55" s="135"/>
      <c r="B55" s="135"/>
      <c r="C55" s="135"/>
      <c r="D55" s="135"/>
      <c r="E55" s="135"/>
      <c r="F55" s="135"/>
      <c r="G55" s="135"/>
      <c r="H55" s="135"/>
      <c r="I55" s="135"/>
      <c r="J55" s="135"/>
      <c r="K55" s="135"/>
      <c r="L55" s="135"/>
      <c r="M55" s="135"/>
      <c r="N55" s="135"/>
      <c r="O55" s="135"/>
      <c r="P55" s="135"/>
      <c r="Q55" s="135"/>
      <c r="R55" s="135"/>
      <c r="S55" s="135"/>
      <c r="T55" s="135"/>
      <c r="U55" s="135"/>
      <c r="V55" s="135"/>
      <c r="W55" s="135"/>
      <c r="X55" s="135"/>
      <c r="Y55" s="135"/>
      <c r="Z55" s="135"/>
    </row>
    <row r="56" spans="1:26" ht="15" customHeight="1">
      <c r="A56" s="135"/>
      <c r="B56" s="135"/>
      <c r="C56" s="135"/>
      <c r="D56" s="135"/>
      <c r="E56" s="135"/>
      <c r="F56" s="135"/>
      <c r="G56" s="135"/>
      <c r="H56" s="135"/>
      <c r="I56" s="135"/>
      <c r="J56" s="135"/>
      <c r="K56" s="135"/>
      <c r="L56" s="135"/>
      <c r="M56" s="135"/>
      <c r="N56" s="135"/>
      <c r="O56" s="135"/>
      <c r="P56" s="135"/>
      <c r="Q56" s="135"/>
      <c r="R56" s="135"/>
      <c r="S56" s="135"/>
      <c r="T56" s="135"/>
      <c r="U56" s="135"/>
      <c r="V56" s="135"/>
      <c r="W56" s="135"/>
      <c r="X56" s="135"/>
      <c r="Y56" s="135"/>
      <c r="Z56" s="135"/>
    </row>
    <row r="57" spans="1:26" ht="15" customHeight="1">
      <c r="A57" s="135"/>
      <c r="B57" s="135"/>
      <c r="C57" s="135"/>
      <c r="D57" s="135"/>
      <c r="E57" s="135"/>
      <c r="F57" s="135"/>
      <c r="G57" s="135"/>
      <c r="H57" s="135"/>
      <c r="I57" s="135"/>
      <c r="J57" s="135"/>
      <c r="K57" s="135"/>
      <c r="L57" s="135"/>
      <c r="M57" s="135"/>
      <c r="N57" s="135"/>
      <c r="O57" s="135"/>
      <c r="P57" s="135"/>
      <c r="Q57" s="135"/>
      <c r="R57" s="135"/>
      <c r="S57" s="135"/>
      <c r="T57" s="135"/>
      <c r="U57" s="135"/>
      <c r="V57" s="135"/>
      <c r="W57" s="135"/>
      <c r="X57" s="135"/>
      <c r="Y57" s="135"/>
      <c r="Z57" s="135"/>
    </row>
    <row r="58" spans="1:26" ht="15" customHeight="1">
      <c r="A58" s="135"/>
      <c r="B58" s="135"/>
      <c r="C58" s="135"/>
      <c r="D58" s="135"/>
      <c r="E58" s="135"/>
      <c r="F58" s="135"/>
      <c r="G58" s="135"/>
      <c r="H58" s="135"/>
      <c r="I58" s="135"/>
      <c r="J58" s="135"/>
      <c r="K58" s="135"/>
      <c r="L58" s="135"/>
      <c r="M58" s="135"/>
      <c r="N58" s="135"/>
      <c r="O58" s="135"/>
      <c r="P58" s="135"/>
      <c r="Q58" s="135"/>
      <c r="R58" s="135"/>
      <c r="S58" s="135"/>
      <c r="T58" s="135"/>
      <c r="U58" s="135"/>
      <c r="V58" s="135"/>
      <c r="W58" s="135"/>
      <c r="X58" s="135"/>
      <c r="Y58" s="135"/>
      <c r="Z58" s="135"/>
    </row>
    <row r="59" spans="1:26" ht="15" customHeight="1">
      <c r="A59" s="135"/>
      <c r="B59" s="135"/>
      <c r="C59" s="135"/>
      <c r="D59" s="135"/>
      <c r="E59" s="135"/>
      <c r="F59" s="135"/>
      <c r="G59" s="135"/>
      <c r="H59" s="135"/>
      <c r="I59" s="135"/>
      <c r="J59" s="135"/>
      <c r="K59" s="135"/>
      <c r="L59" s="135"/>
      <c r="M59" s="135"/>
      <c r="N59" s="135"/>
      <c r="O59" s="135"/>
      <c r="P59" s="135"/>
      <c r="Q59" s="135"/>
      <c r="R59" s="135"/>
      <c r="S59" s="135"/>
      <c r="T59" s="135"/>
      <c r="U59" s="135"/>
      <c r="V59" s="135"/>
      <c r="W59" s="135"/>
      <c r="X59" s="135"/>
      <c r="Y59" s="135"/>
      <c r="Z59" s="135"/>
    </row>
    <row r="60" spans="1:26" ht="15" customHeight="1">
      <c r="A60" s="135"/>
      <c r="B60" s="135"/>
      <c r="C60" s="135"/>
      <c r="D60" s="135"/>
      <c r="E60" s="135"/>
      <c r="F60" s="135"/>
      <c r="G60" s="135"/>
      <c r="H60" s="135"/>
      <c r="I60" s="135"/>
      <c r="J60" s="135"/>
      <c r="K60" s="135"/>
      <c r="L60" s="135"/>
      <c r="M60" s="135"/>
      <c r="N60" s="135"/>
      <c r="O60" s="135"/>
      <c r="P60" s="135"/>
      <c r="Q60" s="135"/>
      <c r="R60" s="135"/>
      <c r="S60" s="135"/>
      <c r="T60" s="135"/>
      <c r="U60" s="135"/>
      <c r="V60" s="135"/>
      <c r="W60" s="135"/>
      <c r="X60" s="135"/>
      <c r="Y60" s="135"/>
      <c r="Z60" s="135"/>
    </row>
    <row r="61" spans="1:26" ht="15" customHeight="1">
      <c r="A61" s="135"/>
      <c r="B61" s="135"/>
      <c r="C61" s="135"/>
      <c r="D61" s="135"/>
      <c r="E61" s="135"/>
      <c r="F61" s="135"/>
      <c r="G61" s="135"/>
      <c r="H61" s="135"/>
      <c r="I61" s="135"/>
      <c r="J61" s="135"/>
      <c r="K61" s="135"/>
      <c r="L61" s="135"/>
      <c r="M61" s="135"/>
      <c r="N61" s="135"/>
      <c r="O61" s="135"/>
      <c r="P61" s="135"/>
      <c r="Q61" s="135"/>
      <c r="R61" s="135"/>
      <c r="S61" s="135"/>
      <c r="T61" s="135"/>
      <c r="U61" s="135"/>
      <c r="V61" s="135"/>
      <c r="W61" s="135"/>
      <c r="X61" s="135"/>
      <c r="Y61" s="135"/>
      <c r="Z61" s="135"/>
    </row>
    <row r="62" spans="1:26" ht="15" customHeight="1">
      <c r="A62" s="135"/>
      <c r="B62" s="135"/>
      <c r="C62" s="135"/>
      <c r="D62" s="135"/>
      <c r="E62" s="135"/>
      <c r="F62" s="135"/>
      <c r="G62" s="135"/>
      <c r="H62" s="135"/>
      <c r="I62" s="135"/>
      <c r="J62" s="135"/>
      <c r="K62" s="135"/>
      <c r="L62" s="135"/>
      <c r="M62" s="135"/>
      <c r="N62" s="135"/>
      <c r="O62" s="135"/>
      <c r="P62" s="135"/>
      <c r="Q62" s="135"/>
      <c r="R62" s="135"/>
      <c r="S62" s="135"/>
      <c r="T62" s="135"/>
      <c r="U62" s="135"/>
      <c r="V62" s="135"/>
      <c r="W62" s="135"/>
      <c r="X62" s="135"/>
      <c r="Y62" s="135"/>
      <c r="Z62" s="135"/>
    </row>
    <row r="63" spans="1:26" ht="15" customHeight="1">
      <c r="A63" s="135"/>
      <c r="B63" s="135"/>
      <c r="C63" s="135"/>
      <c r="D63" s="135"/>
      <c r="E63" s="135"/>
      <c r="F63" s="135"/>
      <c r="G63" s="135"/>
      <c r="H63" s="135"/>
      <c r="I63" s="135"/>
      <c r="J63" s="135"/>
      <c r="K63" s="135"/>
      <c r="L63" s="135"/>
      <c r="M63" s="135"/>
      <c r="N63" s="135"/>
      <c r="O63" s="135"/>
      <c r="P63" s="135"/>
      <c r="Q63" s="135"/>
      <c r="R63" s="135"/>
      <c r="S63" s="135"/>
      <c r="T63" s="135"/>
      <c r="U63" s="135"/>
      <c r="V63" s="135"/>
      <c r="W63" s="135"/>
      <c r="X63" s="135"/>
      <c r="Y63" s="135"/>
      <c r="Z63" s="135"/>
    </row>
    <row r="64" spans="1:26" ht="15" customHeight="1">
      <c r="A64" s="135"/>
      <c r="B64" s="135"/>
      <c r="C64" s="135"/>
      <c r="D64" s="135"/>
      <c r="E64" s="135"/>
      <c r="F64" s="135"/>
      <c r="G64" s="135"/>
      <c r="H64" s="135"/>
      <c r="I64" s="135"/>
      <c r="J64" s="135"/>
      <c r="K64" s="135"/>
      <c r="L64" s="135"/>
      <c r="M64" s="135"/>
      <c r="N64" s="135"/>
      <c r="O64" s="135"/>
      <c r="P64" s="135"/>
      <c r="Q64" s="135"/>
      <c r="R64" s="135"/>
      <c r="S64" s="135"/>
      <c r="T64" s="135"/>
      <c r="U64" s="135"/>
      <c r="V64" s="135"/>
      <c r="W64" s="135"/>
      <c r="X64" s="135"/>
      <c r="Y64" s="135"/>
      <c r="Z64" s="135"/>
    </row>
    <row r="65" spans="1:26" ht="15" customHeight="1">
      <c r="A65" s="135"/>
      <c r="B65" s="135"/>
      <c r="C65" s="135"/>
      <c r="D65" s="135"/>
      <c r="E65" s="135"/>
      <c r="F65" s="135"/>
      <c r="G65" s="135"/>
      <c r="H65" s="135"/>
      <c r="I65" s="135"/>
      <c r="J65" s="135"/>
      <c r="K65" s="135"/>
      <c r="L65" s="135"/>
      <c r="M65" s="135"/>
      <c r="N65" s="135"/>
      <c r="O65" s="135"/>
      <c r="P65" s="135"/>
      <c r="Q65" s="135"/>
      <c r="R65" s="135"/>
      <c r="S65" s="135"/>
      <c r="T65" s="135"/>
      <c r="U65" s="135"/>
      <c r="V65" s="135"/>
      <c r="W65" s="135"/>
      <c r="X65" s="135"/>
      <c r="Y65" s="135"/>
      <c r="Z65" s="135"/>
    </row>
    <row r="66" spans="1:26" ht="15" customHeight="1">
      <c r="A66" s="135"/>
      <c r="B66" s="135"/>
      <c r="C66" s="135"/>
      <c r="D66" s="135"/>
      <c r="E66" s="135"/>
      <c r="F66" s="135"/>
      <c r="G66" s="135"/>
      <c r="H66" s="135"/>
      <c r="I66" s="135"/>
      <c r="J66" s="135"/>
      <c r="K66" s="135"/>
      <c r="L66" s="135"/>
      <c r="M66" s="135"/>
      <c r="N66" s="135"/>
      <c r="O66" s="135"/>
      <c r="P66" s="135"/>
      <c r="Q66" s="135"/>
      <c r="R66" s="135"/>
      <c r="S66" s="135"/>
      <c r="T66" s="135"/>
      <c r="U66" s="135"/>
      <c r="V66" s="135"/>
      <c r="W66" s="135"/>
      <c r="X66" s="135"/>
      <c r="Y66" s="135"/>
      <c r="Z66" s="135"/>
    </row>
    <row r="67" spans="1:26" ht="15" customHeight="1">
      <c r="A67" s="135"/>
      <c r="B67" s="135"/>
      <c r="C67" s="135"/>
      <c r="D67" s="135"/>
      <c r="E67" s="135"/>
      <c r="F67" s="135"/>
      <c r="G67" s="135"/>
      <c r="H67" s="135"/>
      <c r="I67" s="135"/>
      <c r="J67" s="135"/>
      <c r="K67" s="135"/>
      <c r="L67" s="135"/>
      <c r="M67" s="135"/>
      <c r="N67" s="135"/>
      <c r="O67" s="135"/>
      <c r="P67" s="135"/>
      <c r="Q67" s="135"/>
      <c r="R67" s="135"/>
      <c r="S67" s="135"/>
      <c r="T67" s="135"/>
      <c r="U67" s="135"/>
      <c r="V67" s="135"/>
      <c r="W67" s="135"/>
      <c r="X67" s="135"/>
      <c r="Y67" s="135"/>
      <c r="Z67" s="135"/>
    </row>
    <row r="68" spans="1:26" ht="15" customHeight="1">
      <c r="A68" s="135"/>
      <c r="B68" s="135"/>
      <c r="C68" s="135"/>
      <c r="D68" s="135"/>
      <c r="E68" s="135"/>
      <c r="F68" s="135"/>
      <c r="G68" s="135"/>
      <c r="H68" s="135"/>
      <c r="I68" s="135"/>
      <c r="J68" s="135"/>
      <c r="K68" s="135"/>
      <c r="L68" s="135"/>
      <c r="M68" s="135"/>
      <c r="N68" s="135"/>
      <c r="O68" s="135"/>
      <c r="P68" s="135"/>
      <c r="Q68" s="135"/>
      <c r="R68" s="135"/>
      <c r="S68" s="135"/>
      <c r="T68" s="135"/>
      <c r="U68" s="135"/>
      <c r="V68" s="135"/>
      <c r="W68" s="135"/>
      <c r="X68" s="135"/>
      <c r="Y68" s="135"/>
      <c r="Z68" s="135"/>
    </row>
    <row r="69" spans="1:26" ht="15" customHeight="1">
      <c r="A69" s="135"/>
      <c r="B69" s="135"/>
      <c r="C69" s="135"/>
      <c r="D69" s="135"/>
      <c r="E69" s="135"/>
      <c r="F69" s="135"/>
      <c r="G69" s="135"/>
      <c r="H69" s="135"/>
      <c r="I69" s="135"/>
      <c r="J69" s="135"/>
      <c r="K69" s="135"/>
      <c r="L69" s="135"/>
      <c r="M69" s="135"/>
      <c r="N69" s="135"/>
      <c r="O69" s="135"/>
      <c r="P69" s="135"/>
      <c r="Q69" s="135"/>
      <c r="R69" s="135"/>
      <c r="S69" s="135"/>
      <c r="T69" s="135"/>
      <c r="U69" s="135"/>
      <c r="V69" s="135"/>
      <c r="W69" s="135"/>
      <c r="X69" s="135"/>
      <c r="Y69" s="135"/>
      <c r="Z69" s="135"/>
    </row>
    <row r="70" spans="1:26" ht="15" customHeight="1">
      <c r="A70" s="135"/>
      <c r="B70" s="135"/>
      <c r="C70" s="135"/>
      <c r="D70" s="135"/>
      <c r="E70" s="135"/>
      <c r="F70" s="135"/>
      <c r="G70" s="135"/>
      <c r="H70" s="135"/>
      <c r="I70" s="135"/>
      <c r="J70" s="135"/>
      <c r="K70" s="135"/>
      <c r="L70" s="135"/>
      <c r="M70" s="135"/>
      <c r="N70" s="135"/>
      <c r="O70" s="135"/>
      <c r="P70" s="135"/>
      <c r="Q70" s="135"/>
      <c r="R70" s="135"/>
      <c r="S70" s="135"/>
      <c r="T70" s="135"/>
      <c r="U70" s="135"/>
      <c r="V70" s="135"/>
      <c r="W70" s="135"/>
      <c r="X70" s="135"/>
      <c r="Y70" s="135"/>
      <c r="Z70" s="135"/>
    </row>
    <row r="71" spans="1:26" ht="15" customHeight="1">
      <c r="A71" s="135"/>
      <c r="B71" s="135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X71" s="135"/>
      <c r="Y71" s="135"/>
      <c r="Z71" s="135"/>
    </row>
    <row r="72" spans="1:26" ht="15" customHeight="1">
      <c r="A72" s="135"/>
      <c r="B72" s="135"/>
      <c r="C72" s="135"/>
      <c r="D72" s="135"/>
      <c r="E72" s="135"/>
      <c r="F72" s="135"/>
      <c r="G72" s="135"/>
      <c r="H72" s="135"/>
      <c r="I72" s="135"/>
      <c r="J72" s="135"/>
      <c r="K72" s="135"/>
      <c r="L72" s="135"/>
      <c r="M72" s="135"/>
      <c r="N72" s="135"/>
      <c r="O72" s="135"/>
      <c r="P72" s="135"/>
      <c r="Q72" s="135"/>
      <c r="R72" s="135"/>
      <c r="S72" s="135"/>
      <c r="T72" s="135"/>
      <c r="U72" s="135"/>
      <c r="V72" s="135"/>
      <c r="W72" s="135"/>
      <c r="X72" s="135"/>
      <c r="Y72" s="135"/>
      <c r="Z72" s="135"/>
    </row>
    <row r="73" spans="1:26" ht="15" customHeight="1">
      <c r="A73" s="135"/>
      <c r="B73" s="135"/>
      <c r="C73" s="135"/>
      <c r="D73" s="135"/>
      <c r="E73" s="135"/>
      <c r="F73" s="135"/>
      <c r="G73" s="135"/>
      <c r="H73" s="135"/>
      <c r="I73" s="135"/>
      <c r="J73" s="135"/>
      <c r="K73" s="135"/>
      <c r="L73" s="135"/>
      <c r="M73" s="135"/>
      <c r="N73" s="135"/>
      <c r="O73" s="135"/>
      <c r="P73" s="135"/>
      <c r="Q73" s="135"/>
      <c r="R73" s="135"/>
      <c r="S73" s="135"/>
      <c r="T73" s="135"/>
      <c r="U73" s="135"/>
      <c r="V73" s="135"/>
      <c r="W73" s="135"/>
      <c r="X73" s="135"/>
      <c r="Y73" s="135"/>
      <c r="Z73" s="135"/>
    </row>
    <row r="74" spans="1:26" ht="15" customHeight="1">
      <c r="A74" s="135"/>
      <c r="B74" s="135"/>
      <c r="C74" s="135"/>
      <c r="D74" s="135"/>
      <c r="E74" s="135"/>
      <c r="F74" s="135"/>
      <c r="G74" s="135"/>
      <c r="H74" s="135"/>
      <c r="I74" s="135"/>
      <c r="J74" s="135"/>
      <c r="K74" s="135"/>
      <c r="L74" s="135"/>
      <c r="M74" s="135"/>
      <c r="N74" s="135"/>
      <c r="O74" s="135"/>
      <c r="P74" s="135"/>
      <c r="Q74" s="135"/>
      <c r="R74" s="135"/>
      <c r="S74" s="135"/>
      <c r="T74" s="135"/>
      <c r="U74" s="135"/>
      <c r="V74" s="135"/>
      <c r="W74" s="135"/>
      <c r="X74" s="135"/>
      <c r="Y74" s="135"/>
      <c r="Z74" s="135"/>
    </row>
    <row r="75" spans="1:26" ht="15" customHeight="1">
      <c r="A75" s="135"/>
      <c r="B75" s="135"/>
      <c r="C75" s="135"/>
      <c r="D75" s="135"/>
      <c r="E75" s="135"/>
      <c r="F75" s="135"/>
      <c r="G75" s="135"/>
      <c r="H75" s="135"/>
      <c r="I75" s="135"/>
      <c r="J75" s="135"/>
      <c r="K75" s="135"/>
      <c r="L75" s="135"/>
      <c r="M75" s="135"/>
      <c r="N75" s="135"/>
      <c r="O75" s="135"/>
      <c r="P75" s="135"/>
      <c r="Q75" s="135"/>
      <c r="R75" s="135"/>
      <c r="S75" s="135"/>
      <c r="T75" s="135"/>
      <c r="U75" s="135"/>
      <c r="V75" s="135"/>
      <c r="W75" s="135"/>
      <c r="X75" s="135"/>
      <c r="Y75" s="135"/>
      <c r="Z75" s="135"/>
    </row>
    <row r="76" spans="1:26" ht="15" customHeight="1">
      <c r="A76" s="135"/>
      <c r="B76" s="135"/>
      <c r="C76" s="135"/>
      <c r="D76" s="135"/>
      <c r="E76" s="135"/>
      <c r="F76" s="135"/>
      <c r="G76" s="135"/>
      <c r="H76" s="135"/>
      <c r="I76" s="135"/>
      <c r="J76" s="135"/>
      <c r="K76" s="135"/>
      <c r="L76" s="135"/>
      <c r="M76" s="135"/>
      <c r="N76" s="135"/>
      <c r="O76" s="135"/>
      <c r="P76" s="135"/>
      <c r="Q76" s="135"/>
      <c r="R76" s="135"/>
      <c r="S76" s="135"/>
      <c r="T76" s="135"/>
      <c r="U76" s="135"/>
      <c r="V76" s="135"/>
      <c r="W76" s="135"/>
      <c r="X76" s="135"/>
      <c r="Y76" s="135"/>
      <c r="Z76" s="135"/>
    </row>
    <row r="77" spans="1:26" ht="15" customHeight="1">
      <c r="A77" s="135"/>
      <c r="B77" s="135"/>
      <c r="C77" s="135"/>
      <c r="D77" s="135"/>
      <c r="E77" s="135"/>
      <c r="F77" s="135"/>
      <c r="G77" s="135"/>
      <c r="H77" s="135"/>
      <c r="I77" s="135"/>
      <c r="J77" s="135"/>
      <c r="K77" s="135"/>
      <c r="L77" s="135"/>
      <c r="M77" s="135"/>
      <c r="N77" s="135"/>
      <c r="O77" s="135"/>
      <c r="P77" s="135"/>
      <c r="Q77" s="135"/>
      <c r="R77" s="135"/>
      <c r="S77" s="135"/>
      <c r="T77" s="135"/>
      <c r="U77" s="135"/>
      <c r="V77" s="135"/>
      <c r="W77" s="135"/>
      <c r="X77" s="135"/>
      <c r="Y77" s="135"/>
      <c r="Z77" s="135"/>
    </row>
    <row r="78" spans="1:26" ht="15" customHeight="1">
      <c r="A78" s="135"/>
      <c r="B78" s="135"/>
      <c r="C78" s="135"/>
      <c r="D78" s="135"/>
      <c r="E78" s="135"/>
      <c r="F78" s="135"/>
      <c r="G78" s="135"/>
      <c r="H78" s="135"/>
      <c r="I78" s="135"/>
      <c r="J78" s="135"/>
      <c r="K78" s="135"/>
      <c r="L78" s="135"/>
      <c r="M78" s="135"/>
      <c r="N78" s="135"/>
      <c r="O78" s="135"/>
      <c r="P78" s="135"/>
      <c r="Q78" s="135"/>
      <c r="R78" s="135"/>
      <c r="S78" s="135"/>
      <c r="T78" s="135"/>
      <c r="U78" s="135"/>
      <c r="V78" s="135"/>
      <c r="W78" s="135"/>
      <c r="X78" s="135"/>
      <c r="Y78" s="135"/>
      <c r="Z78" s="135"/>
    </row>
    <row r="79" spans="1:26" ht="15" customHeight="1">
      <c r="A79" s="135"/>
      <c r="B79" s="135"/>
      <c r="C79" s="135"/>
      <c r="D79" s="135"/>
      <c r="E79" s="135"/>
      <c r="F79" s="135"/>
      <c r="G79" s="135"/>
      <c r="H79" s="135"/>
      <c r="I79" s="135"/>
      <c r="J79" s="135"/>
      <c r="K79" s="135"/>
      <c r="L79" s="135"/>
      <c r="M79" s="135"/>
      <c r="N79" s="135"/>
      <c r="O79" s="135"/>
      <c r="P79" s="135"/>
      <c r="Q79" s="135"/>
      <c r="R79" s="135"/>
      <c r="S79" s="135"/>
      <c r="T79" s="135"/>
      <c r="U79" s="135"/>
      <c r="V79" s="135"/>
      <c r="W79" s="135"/>
      <c r="X79" s="135"/>
      <c r="Y79" s="135"/>
      <c r="Z79" s="135"/>
    </row>
    <row r="80" spans="1:26" ht="15" customHeight="1">
      <c r="A80" s="135"/>
      <c r="B80" s="135"/>
      <c r="C80" s="135"/>
      <c r="D80" s="135"/>
      <c r="E80" s="135"/>
      <c r="F80" s="135"/>
      <c r="G80" s="135"/>
      <c r="H80" s="135"/>
      <c r="I80" s="135"/>
      <c r="J80" s="135"/>
      <c r="K80" s="135"/>
      <c r="L80" s="135"/>
      <c r="M80" s="135"/>
      <c r="N80" s="135"/>
      <c r="O80" s="135"/>
      <c r="P80" s="135"/>
      <c r="Q80" s="135"/>
      <c r="R80" s="135"/>
      <c r="S80" s="135"/>
      <c r="T80" s="135"/>
      <c r="U80" s="135"/>
      <c r="V80" s="135"/>
      <c r="W80" s="135"/>
      <c r="X80" s="135"/>
      <c r="Y80" s="135"/>
      <c r="Z80" s="135"/>
    </row>
    <row r="81" spans="1:26" ht="15" customHeight="1">
      <c r="A81" s="135"/>
      <c r="B81" s="135"/>
      <c r="C81" s="135"/>
      <c r="D81" s="135"/>
      <c r="E81" s="135"/>
      <c r="F81" s="135"/>
      <c r="G81" s="135"/>
      <c r="H81" s="135"/>
      <c r="I81" s="135"/>
      <c r="J81" s="135"/>
      <c r="K81" s="135"/>
      <c r="L81" s="135"/>
      <c r="M81" s="135"/>
      <c r="N81" s="135"/>
      <c r="O81" s="135"/>
      <c r="P81" s="135"/>
      <c r="Q81" s="135"/>
      <c r="R81" s="135"/>
      <c r="S81" s="135"/>
      <c r="T81" s="135"/>
      <c r="U81" s="135"/>
      <c r="V81" s="135"/>
      <c r="W81" s="135"/>
      <c r="X81" s="135"/>
      <c r="Y81" s="135"/>
      <c r="Z81" s="135"/>
    </row>
    <row r="82" spans="1:26" ht="15" customHeight="1">
      <c r="A82" s="135"/>
      <c r="B82" s="135"/>
      <c r="C82" s="135"/>
      <c r="D82" s="135"/>
      <c r="E82" s="135"/>
      <c r="F82" s="135"/>
      <c r="G82" s="135"/>
      <c r="H82" s="135"/>
      <c r="I82" s="135"/>
      <c r="J82" s="135"/>
      <c r="K82" s="135"/>
      <c r="L82" s="135"/>
      <c r="M82" s="135"/>
      <c r="N82" s="135"/>
      <c r="O82" s="135"/>
      <c r="P82" s="135"/>
      <c r="Q82" s="135"/>
      <c r="R82" s="135"/>
      <c r="S82" s="135"/>
      <c r="T82" s="135"/>
      <c r="U82" s="135"/>
      <c r="V82" s="135"/>
      <c r="W82" s="135"/>
      <c r="X82" s="135"/>
      <c r="Y82" s="135"/>
      <c r="Z82" s="135"/>
    </row>
    <row r="83" spans="1:26" ht="15" customHeight="1">
      <c r="A83" s="135"/>
      <c r="B83" s="135"/>
      <c r="C83" s="135"/>
      <c r="D83" s="135"/>
      <c r="E83" s="135"/>
      <c r="F83" s="135"/>
      <c r="G83" s="135"/>
      <c r="H83" s="135"/>
      <c r="I83" s="135"/>
      <c r="J83" s="135"/>
      <c r="K83" s="135"/>
      <c r="L83" s="135"/>
      <c r="M83" s="135"/>
      <c r="N83" s="135"/>
      <c r="O83" s="135"/>
      <c r="P83" s="135"/>
      <c r="Q83" s="135"/>
      <c r="R83" s="135"/>
      <c r="S83" s="135"/>
      <c r="T83" s="135"/>
      <c r="U83" s="135"/>
      <c r="V83" s="135"/>
      <c r="W83" s="135"/>
      <c r="X83" s="135"/>
      <c r="Y83" s="135"/>
      <c r="Z83" s="135"/>
    </row>
    <row r="84" spans="1:26" ht="15" customHeight="1">
      <c r="A84" s="135"/>
      <c r="B84" s="135"/>
      <c r="C84" s="135"/>
      <c r="D84" s="135"/>
      <c r="E84" s="135"/>
      <c r="F84" s="135"/>
      <c r="G84" s="135"/>
      <c r="H84" s="135"/>
      <c r="I84" s="135"/>
      <c r="J84" s="135"/>
      <c r="K84" s="135"/>
      <c r="L84" s="135"/>
      <c r="M84" s="135"/>
      <c r="N84" s="135"/>
      <c r="O84" s="135"/>
      <c r="P84" s="135"/>
      <c r="Q84" s="135"/>
      <c r="R84" s="135"/>
      <c r="S84" s="135"/>
      <c r="T84" s="135"/>
      <c r="U84" s="135"/>
      <c r="V84" s="135"/>
      <c r="W84" s="135"/>
      <c r="X84" s="135"/>
      <c r="Y84" s="135"/>
      <c r="Z84" s="135"/>
    </row>
    <row r="85" spans="1:26" ht="15" customHeight="1">
      <c r="A85" s="135"/>
      <c r="B85" s="135"/>
      <c r="C85" s="135"/>
      <c r="D85" s="135"/>
      <c r="E85" s="135"/>
      <c r="F85" s="135"/>
      <c r="G85" s="135"/>
      <c r="H85" s="135"/>
      <c r="I85" s="135"/>
      <c r="J85" s="135"/>
      <c r="K85" s="135"/>
      <c r="L85" s="135"/>
      <c r="M85" s="135"/>
      <c r="N85" s="135"/>
      <c r="O85" s="135"/>
      <c r="P85" s="135"/>
      <c r="Q85" s="135"/>
      <c r="R85" s="135"/>
      <c r="S85" s="135"/>
      <c r="T85" s="135"/>
      <c r="U85" s="135"/>
      <c r="V85" s="135"/>
      <c r="W85" s="135"/>
      <c r="X85" s="135"/>
      <c r="Y85" s="135"/>
      <c r="Z85" s="135"/>
    </row>
    <row r="86" spans="1:26" ht="15" customHeight="1">
      <c r="A86" s="135"/>
      <c r="B86" s="135"/>
      <c r="C86" s="135"/>
      <c r="D86" s="135"/>
      <c r="E86" s="135"/>
      <c r="F86" s="135"/>
      <c r="G86" s="135"/>
      <c r="H86" s="135"/>
      <c r="I86" s="135"/>
      <c r="J86" s="135"/>
      <c r="K86" s="135"/>
      <c r="L86" s="135"/>
      <c r="M86" s="135"/>
      <c r="N86" s="135"/>
      <c r="O86" s="135"/>
      <c r="P86" s="135"/>
      <c r="Q86" s="135"/>
      <c r="R86" s="135"/>
      <c r="S86" s="135"/>
      <c r="T86" s="135"/>
      <c r="U86" s="135"/>
      <c r="V86" s="135"/>
      <c r="W86" s="135"/>
      <c r="X86" s="135"/>
      <c r="Y86" s="135"/>
      <c r="Z86" s="135"/>
    </row>
    <row r="87" spans="1:26" ht="15" customHeight="1">
      <c r="A87" s="135"/>
      <c r="B87" s="135"/>
      <c r="C87" s="135"/>
      <c r="D87" s="135"/>
      <c r="E87" s="135"/>
      <c r="F87" s="135"/>
      <c r="G87" s="135"/>
      <c r="H87" s="135"/>
      <c r="I87" s="135"/>
      <c r="J87" s="135"/>
      <c r="K87" s="135"/>
      <c r="L87" s="135"/>
      <c r="M87" s="135"/>
      <c r="N87" s="135"/>
      <c r="O87" s="135"/>
      <c r="P87" s="135"/>
      <c r="Q87" s="135"/>
      <c r="R87" s="135"/>
      <c r="S87" s="135"/>
      <c r="T87" s="135"/>
      <c r="U87" s="135"/>
      <c r="V87" s="135"/>
      <c r="W87" s="135"/>
      <c r="X87" s="135"/>
      <c r="Y87" s="135"/>
      <c r="Z87" s="135"/>
    </row>
    <row r="88" spans="1:26" ht="15" customHeight="1">
      <c r="A88" s="135"/>
      <c r="B88" s="135"/>
      <c r="C88" s="135"/>
      <c r="D88" s="135"/>
      <c r="E88" s="135"/>
      <c r="F88" s="135"/>
      <c r="G88" s="135"/>
      <c r="H88" s="135"/>
      <c r="I88" s="135"/>
      <c r="J88" s="135"/>
      <c r="K88" s="135"/>
      <c r="L88" s="135"/>
      <c r="M88" s="135"/>
      <c r="N88" s="135"/>
      <c r="O88" s="135"/>
      <c r="P88" s="135"/>
      <c r="Q88" s="135"/>
      <c r="R88" s="135"/>
      <c r="S88" s="135"/>
      <c r="T88" s="135"/>
      <c r="U88" s="135"/>
      <c r="V88" s="135"/>
      <c r="W88" s="135"/>
      <c r="X88" s="135"/>
      <c r="Y88" s="135"/>
      <c r="Z88" s="135"/>
    </row>
    <row r="89" spans="1:26" ht="15" customHeight="1">
      <c r="A89" s="135"/>
      <c r="B89" s="135"/>
      <c r="C89" s="135"/>
      <c r="D89" s="135"/>
      <c r="E89" s="135"/>
      <c r="F89" s="135"/>
      <c r="G89" s="135"/>
      <c r="H89" s="135"/>
      <c r="I89" s="135"/>
      <c r="J89" s="135"/>
      <c r="K89" s="135"/>
      <c r="L89" s="135"/>
      <c r="M89" s="135"/>
      <c r="N89" s="135"/>
      <c r="O89" s="135"/>
      <c r="P89" s="135"/>
      <c r="Q89" s="135"/>
      <c r="R89" s="135"/>
      <c r="S89" s="135"/>
      <c r="T89" s="135"/>
      <c r="U89" s="135"/>
      <c r="V89" s="135"/>
      <c r="W89" s="135"/>
      <c r="X89" s="135"/>
      <c r="Y89" s="135"/>
      <c r="Z89" s="135"/>
    </row>
    <row r="90" spans="1:26" ht="15" customHeight="1">
      <c r="A90" s="135"/>
      <c r="B90" s="135"/>
      <c r="C90" s="135"/>
      <c r="D90" s="135"/>
      <c r="E90" s="135"/>
      <c r="F90" s="135"/>
      <c r="G90" s="135"/>
      <c r="H90" s="135"/>
      <c r="I90" s="135"/>
      <c r="J90" s="135"/>
      <c r="K90" s="135"/>
      <c r="L90" s="135"/>
      <c r="M90" s="135"/>
      <c r="N90" s="135"/>
      <c r="O90" s="135"/>
      <c r="P90" s="135"/>
      <c r="Q90" s="135"/>
      <c r="R90" s="135"/>
      <c r="S90" s="135"/>
      <c r="T90" s="135"/>
      <c r="U90" s="135"/>
      <c r="V90" s="135"/>
      <c r="W90" s="135"/>
      <c r="X90" s="135"/>
      <c r="Y90" s="135"/>
      <c r="Z90" s="135"/>
    </row>
    <row r="91" spans="1:26" ht="15" customHeight="1">
      <c r="A91" s="135"/>
      <c r="B91" s="135"/>
      <c r="C91" s="135"/>
      <c r="D91" s="135"/>
      <c r="E91" s="135"/>
      <c r="F91" s="135"/>
      <c r="G91" s="135"/>
      <c r="H91" s="135"/>
      <c r="I91" s="135"/>
      <c r="J91" s="135"/>
      <c r="K91" s="135"/>
      <c r="L91" s="135"/>
      <c r="M91" s="135"/>
      <c r="N91" s="135"/>
      <c r="O91" s="135"/>
      <c r="P91" s="135"/>
      <c r="Q91" s="135"/>
      <c r="R91" s="135"/>
      <c r="S91" s="135"/>
      <c r="T91" s="135"/>
      <c r="U91" s="135"/>
      <c r="V91" s="135"/>
      <c r="W91" s="135"/>
      <c r="X91" s="135"/>
      <c r="Y91" s="135"/>
      <c r="Z91" s="135"/>
    </row>
    <row r="92" spans="1:26" ht="15" customHeight="1">
      <c r="A92" s="135"/>
      <c r="B92" s="135"/>
      <c r="C92" s="135"/>
      <c r="D92" s="135"/>
      <c r="E92" s="135"/>
      <c r="F92" s="135"/>
      <c r="G92" s="135"/>
      <c r="H92" s="135"/>
      <c r="I92" s="135"/>
      <c r="J92" s="135"/>
      <c r="K92" s="135"/>
      <c r="L92" s="135"/>
      <c r="M92" s="135"/>
      <c r="N92" s="135"/>
      <c r="O92" s="135"/>
      <c r="P92" s="135"/>
      <c r="Q92" s="135"/>
      <c r="R92" s="135"/>
      <c r="S92" s="135"/>
      <c r="T92" s="135"/>
      <c r="U92" s="135"/>
      <c r="V92" s="135"/>
      <c r="W92" s="135"/>
      <c r="X92" s="135"/>
      <c r="Y92" s="135"/>
      <c r="Z92" s="135"/>
    </row>
    <row r="93" spans="1:26" ht="15" customHeight="1">
      <c r="A93" s="135"/>
      <c r="B93" s="135"/>
      <c r="C93" s="135"/>
      <c r="D93" s="135"/>
      <c r="E93" s="135"/>
      <c r="F93" s="135"/>
      <c r="G93" s="135"/>
      <c r="H93" s="135"/>
      <c r="I93" s="135"/>
      <c r="J93" s="135"/>
      <c r="K93" s="135"/>
      <c r="L93" s="135"/>
      <c r="M93" s="135"/>
      <c r="N93" s="135"/>
      <c r="O93" s="135"/>
      <c r="P93" s="135"/>
      <c r="Q93" s="135"/>
      <c r="R93" s="135"/>
      <c r="S93" s="135"/>
      <c r="T93" s="135"/>
      <c r="U93" s="135"/>
      <c r="V93" s="135"/>
      <c r="W93" s="135"/>
      <c r="X93" s="135"/>
      <c r="Y93" s="135"/>
      <c r="Z93" s="135"/>
    </row>
    <row r="94" spans="1:26" ht="15" customHeight="1">
      <c r="A94" s="135"/>
      <c r="B94" s="135"/>
      <c r="C94" s="135"/>
      <c r="D94" s="135"/>
      <c r="E94" s="135"/>
      <c r="F94" s="135"/>
      <c r="G94" s="135"/>
      <c r="H94" s="135"/>
      <c r="I94" s="135"/>
      <c r="J94" s="135"/>
      <c r="K94" s="135"/>
      <c r="L94" s="135"/>
      <c r="M94" s="135"/>
      <c r="N94" s="135"/>
      <c r="O94" s="135"/>
      <c r="P94" s="135"/>
      <c r="Q94" s="135"/>
      <c r="R94" s="135"/>
      <c r="S94" s="135"/>
      <c r="T94" s="135"/>
      <c r="U94" s="135"/>
      <c r="V94" s="135"/>
      <c r="W94" s="135"/>
      <c r="X94" s="135"/>
      <c r="Y94" s="135"/>
      <c r="Z94" s="135"/>
    </row>
    <row r="95" spans="1:26" ht="15" customHeight="1">
      <c r="A95" s="135"/>
      <c r="B95" s="135"/>
      <c r="C95" s="135"/>
      <c r="D95" s="135"/>
      <c r="E95" s="135"/>
      <c r="F95" s="135"/>
      <c r="G95" s="135"/>
      <c r="H95" s="135"/>
      <c r="I95" s="135"/>
      <c r="J95" s="135"/>
      <c r="K95" s="135"/>
      <c r="L95" s="135"/>
      <c r="M95" s="135"/>
      <c r="N95" s="135"/>
      <c r="O95" s="135"/>
      <c r="P95" s="135"/>
      <c r="Q95" s="135"/>
      <c r="R95" s="135"/>
      <c r="S95" s="135"/>
      <c r="T95" s="135"/>
      <c r="U95" s="135"/>
      <c r="V95" s="135"/>
      <c r="W95" s="135"/>
      <c r="X95" s="135"/>
      <c r="Y95" s="135"/>
      <c r="Z95" s="135"/>
    </row>
    <row r="96" spans="1:26" ht="15" customHeight="1">
      <c r="A96" s="135"/>
      <c r="B96" s="135"/>
      <c r="C96" s="135"/>
      <c r="D96" s="135"/>
      <c r="E96" s="135"/>
      <c r="F96" s="135"/>
      <c r="G96" s="135"/>
      <c r="H96" s="135"/>
      <c r="I96" s="135"/>
      <c r="J96" s="135"/>
      <c r="K96" s="135"/>
      <c r="L96" s="135"/>
      <c r="M96" s="135"/>
      <c r="N96" s="135"/>
      <c r="O96" s="135"/>
      <c r="P96" s="135"/>
      <c r="Q96" s="135"/>
      <c r="R96" s="135"/>
      <c r="S96" s="135"/>
      <c r="T96" s="135"/>
      <c r="U96" s="135"/>
      <c r="V96" s="135"/>
      <c r="W96" s="135"/>
      <c r="X96" s="135"/>
      <c r="Y96" s="135"/>
      <c r="Z96" s="135"/>
    </row>
    <row r="97" spans="1:26" ht="15" customHeight="1">
      <c r="A97" s="135"/>
      <c r="B97" s="135"/>
      <c r="C97" s="135"/>
      <c r="D97" s="135"/>
      <c r="E97" s="135"/>
      <c r="F97" s="135"/>
      <c r="G97" s="135"/>
      <c r="H97" s="135"/>
      <c r="I97" s="135"/>
      <c r="J97" s="135"/>
      <c r="K97" s="135"/>
      <c r="L97" s="135"/>
      <c r="M97" s="135"/>
      <c r="N97" s="135"/>
      <c r="O97" s="135"/>
      <c r="P97" s="135"/>
      <c r="Q97" s="135"/>
      <c r="R97" s="135"/>
      <c r="S97" s="135"/>
      <c r="T97" s="135"/>
      <c r="U97" s="135"/>
      <c r="V97" s="135"/>
      <c r="W97" s="135"/>
      <c r="X97" s="135"/>
      <c r="Y97" s="135"/>
      <c r="Z97" s="135"/>
    </row>
    <row r="98" spans="1:26" ht="15" customHeight="1">
      <c r="A98" s="135"/>
      <c r="B98" s="135"/>
      <c r="C98" s="135"/>
      <c r="D98" s="135"/>
      <c r="E98" s="135"/>
      <c r="F98" s="135"/>
      <c r="G98" s="135"/>
      <c r="H98" s="135"/>
      <c r="I98" s="135"/>
      <c r="J98" s="135"/>
      <c r="K98" s="135"/>
      <c r="L98" s="135"/>
      <c r="M98" s="135"/>
      <c r="N98" s="135"/>
      <c r="O98" s="135"/>
      <c r="P98" s="135"/>
      <c r="Q98" s="135"/>
      <c r="R98" s="135"/>
      <c r="S98" s="135"/>
      <c r="T98" s="135"/>
      <c r="U98" s="135"/>
      <c r="V98" s="135"/>
      <c r="W98" s="135"/>
      <c r="X98" s="135"/>
      <c r="Y98" s="135"/>
      <c r="Z98" s="135"/>
    </row>
    <row r="99" spans="1:26" ht="15" customHeight="1">
      <c r="A99" s="135"/>
      <c r="B99" s="135"/>
      <c r="C99" s="135"/>
      <c r="D99" s="135"/>
      <c r="E99" s="135"/>
      <c r="F99" s="135"/>
      <c r="G99" s="135"/>
      <c r="H99" s="135"/>
      <c r="I99" s="135"/>
      <c r="J99" s="135"/>
      <c r="K99" s="135"/>
      <c r="L99" s="135"/>
      <c r="M99" s="135"/>
      <c r="N99" s="135"/>
      <c r="O99" s="135"/>
      <c r="P99" s="135"/>
      <c r="Q99" s="135"/>
      <c r="R99" s="135"/>
      <c r="S99" s="135"/>
      <c r="T99" s="135"/>
      <c r="U99" s="135"/>
      <c r="V99" s="135"/>
      <c r="W99" s="135"/>
      <c r="X99" s="135"/>
      <c r="Y99" s="135"/>
      <c r="Z99" s="135"/>
    </row>
    <row r="100" spans="1:26" ht="15" customHeight="1">
      <c r="A100" s="135"/>
      <c r="B100" s="135"/>
      <c r="C100" s="135"/>
      <c r="D100" s="135"/>
      <c r="E100" s="135"/>
      <c r="F100" s="135"/>
      <c r="G100" s="135"/>
      <c r="H100" s="135"/>
      <c r="I100" s="135"/>
      <c r="J100" s="135"/>
      <c r="K100" s="135"/>
      <c r="L100" s="135"/>
      <c r="M100" s="135"/>
      <c r="N100" s="135"/>
      <c r="O100" s="135"/>
      <c r="P100" s="135"/>
      <c r="Q100" s="135"/>
      <c r="R100" s="135"/>
      <c r="S100" s="135"/>
      <c r="T100" s="135"/>
      <c r="U100" s="135"/>
      <c r="V100" s="135"/>
      <c r="W100" s="135"/>
      <c r="X100" s="135"/>
      <c r="Y100" s="135"/>
      <c r="Z100" s="135"/>
    </row>
  </sheetData>
  <mergeCells count="5">
    <mergeCell ref="A1:F1"/>
    <mergeCell ref="A2:F2"/>
    <mergeCell ref="B34:F34"/>
    <mergeCell ref="B35:F35"/>
    <mergeCell ref="B36:F36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H80"/>
  <sheetViews>
    <sheetView zoomScaleNormal="100" workbookViewId="0">
      <selection activeCell="B33" sqref="B33"/>
    </sheetView>
  </sheetViews>
  <sheetFormatPr defaultColWidth="8.7109375" defaultRowHeight="15"/>
  <cols>
    <col min="1" max="1" width="28" style="13" customWidth="1"/>
    <col min="2" max="2" width="30" style="13" customWidth="1"/>
    <col min="3" max="3" width="16" style="13" customWidth="1"/>
    <col min="4" max="4" width="24" style="13" customWidth="1"/>
    <col min="5" max="5" width="15" style="13" customWidth="1"/>
    <col min="6" max="8" width="16" style="13" customWidth="1"/>
    <col min="9" max="9" width="36.7109375" style="13" customWidth="1"/>
  </cols>
  <sheetData>
    <row r="1" spans="1:34" ht="24" customHeight="1">
      <c r="A1" s="293" t="s">
        <v>589</v>
      </c>
      <c r="B1" s="293"/>
      <c r="C1" s="293"/>
      <c r="D1" s="293"/>
      <c r="E1" s="293"/>
      <c r="F1" s="293"/>
      <c r="G1" s="293"/>
      <c r="H1" s="293"/>
      <c r="I1" s="293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</row>
    <row r="2" spans="1:34" ht="13.5" customHeight="1">
      <c r="A2" s="294" t="s">
        <v>590</v>
      </c>
      <c r="B2" s="294"/>
      <c r="C2" s="294"/>
      <c r="D2" s="294"/>
      <c r="E2" s="294"/>
      <c r="F2" s="294"/>
      <c r="G2" s="294"/>
      <c r="H2" s="294"/>
      <c r="I2" s="294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spans="1:34" ht="6" customHeight="1">
      <c r="A3" s="121"/>
      <c r="B3" s="121"/>
      <c r="C3" s="121"/>
      <c r="D3" s="121"/>
      <c r="E3" s="121"/>
      <c r="F3" s="121"/>
      <c r="G3" s="121"/>
      <c r="H3" s="121"/>
      <c r="I3" s="12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1:34" ht="18" customHeight="1">
      <c r="A4" s="295" t="s">
        <v>591</v>
      </c>
      <c r="B4" s="295"/>
      <c r="C4" s="295"/>
      <c r="D4" s="295"/>
      <c r="E4" s="295"/>
      <c r="F4" s="295"/>
      <c r="G4" s="295"/>
      <c r="H4" s="295"/>
      <c r="I4" s="295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spans="1:34" ht="24" customHeight="1">
      <c r="A5" s="145" t="s">
        <v>519</v>
      </c>
      <c r="B5" s="145" t="s">
        <v>496</v>
      </c>
      <c r="C5" s="145" t="s">
        <v>544</v>
      </c>
      <c r="D5" s="145" t="s">
        <v>119</v>
      </c>
      <c r="E5" s="237"/>
      <c r="F5" s="237"/>
      <c r="G5" s="237"/>
      <c r="H5" s="237"/>
      <c r="I5" s="237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</row>
    <row r="6" spans="1:34" ht="24" customHeight="1">
      <c r="A6" s="146" t="s">
        <v>427</v>
      </c>
      <c r="B6" s="147" t="s">
        <v>45</v>
      </c>
      <c r="C6" s="148">
        <f>Model_Data!P19</f>
        <v>12859.37</v>
      </c>
      <c r="D6" s="149" t="s">
        <v>592</v>
      </c>
      <c r="E6" s="150"/>
      <c r="F6" s="151"/>
      <c r="G6" s="151"/>
      <c r="H6" s="151"/>
      <c r="I6" s="152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spans="1:34" ht="24" customHeight="1">
      <c r="A7" s="153" t="s">
        <v>593</v>
      </c>
      <c r="B7" s="154" t="s">
        <v>594</v>
      </c>
      <c r="C7" s="155">
        <f>SUM(Model_Data!D19:F19)</f>
        <v>11428.119999999999</v>
      </c>
      <c r="D7" s="156" t="s">
        <v>595</v>
      </c>
      <c r="E7" s="157"/>
      <c r="F7" s="157"/>
      <c r="G7" s="157"/>
      <c r="H7" s="157"/>
      <c r="I7" s="158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</row>
    <row r="8" spans="1:34" ht="28.5" customHeight="1">
      <c r="A8" s="146" t="s">
        <v>596</v>
      </c>
      <c r="B8" s="159" t="s">
        <v>597</v>
      </c>
      <c r="C8" s="148">
        <f>SUM(Model_Data!H19,Model_Data!N19:O19)</f>
        <v>731.25</v>
      </c>
      <c r="D8" s="159" t="s">
        <v>598</v>
      </c>
      <c r="E8" s="159"/>
      <c r="F8" s="151"/>
      <c r="G8" s="151"/>
      <c r="H8" s="151"/>
      <c r="I8" s="152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</row>
    <row r="9" spans="1:34" ht="24" customHeight="1">
      <c r="A9" s="153" t="s">
        <v>437</v>
      </c>
      <c r="B9" s="154" t="s">
        <v>599</v>
      </c>
      <c r="C9" s="155">
        <f>SUM(Model_Data!K19:M19)</f>
        <v>700</v>
      </c>
      <c r="D9" s="156" t="s">
        <v>600</v>
      </c>
      <c r="E9" s="160"/>
      <c r="F9" s="157"/>
      <c r="G9" s="157"/>
      <c r="H9" s="157"/>
      <c r="I9" s="158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</row>
    <row r="10" spans="1:34" ht="29.25" customHeight="1">
      <c r="A10" s="146" t="s">
        <v>566</v>
      </c>
      <c r="B10" s="161" t="s">
        <v>45</v>
      </c>
      <c r="C10" s="148">
        <f>Model_Data!AB19</f>
        <v>9310.2099999999991</v>
      </c>
      <c r="D10" s="161" t="s">
        <v>601</v>
      </c>
      <c r="E10" s="151"/>
      <c r="F10" s="151"/>
      <c r="G10" s="151"/>
      <c r="H10" s="151"/>
      <c r="I10" s="152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</row>
    <row r="11" spans="1:34" ht="24" customHeight="1">
      <c r="A11" s="153" t="s">
        <v>602</v>
      </c>
      <c r="B11" s="154" t="s">
        <v>603</v>
      </c>
      <c r="C11" s="155">
        <f>C10-SUM(Model_Data!X19:Y19)</f>
        <v>8714.3799999999992</v>
      </c>
      <c r="D11" s="156" t="s">
        <v>604</v>
      </c>
      <c r="E11" s="157"/>
      <c r="F11" s="157"/>
      <c r="G11" s="157"/>
      <c r="H11" s="157"/>
      <c r="I11" s="158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</row>
    <row r="12" spans="1:34" ht="24" customHeight="1">
      <c r="A12" s="146" t="s">
        <v>605</v>
      </c>
      <c r="B12" s="159" t="s">
        <v>606</v>
      </c>
      <c r="C12" s="162">
        <f>SUM(E18:E20)</f>
        <v>76</v>
      </c>
      <c r="D12" s="159" t="s">
        <v>607</v>
      </c>
      <c r="E12" s="163"/>
      <c r="F12" s="151"/>
      <c r="G12" s="151"/>
      <c r="H12" s="151"/>
      <c r="I12" s="152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</row>
    <row r="13" spans="1:34" ht="30.75" customHeight="1">
      <c r="A13" s="121" t="s">
        <v>608</v>
      </c>
      <c r="B13" s="121" t="s">
        <v>609</v>
      </c>
      <c r="C13" s="164">
        <f>C11/C12</f>
        <v>114.66289473684209</v>
      </c>
      <c r="D13" s="121" t="s">
        <v>610</v>
      </c>
      <c r="E13" s="121"/>
      <c r="F13" s="121"/>
      <c r="G13" s="121"/>
      <c r="H13" s="121"/>
      <c r="I13" s="12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</row>
    <row r="14" spans="1:34" ht="30" customHeight="1">
      <c r="A14" s="237" t="s">
        <v>611</v>
      </c>
      <c r="B14" s="237" t="s">
        <v>612</v>
      </c>
      <c r="C14" s="165">
        <f>C11/SUM(H18:H20)</f>
        <v>15.024793103448275</v>
      </c>
      <c r="D14" s="237" t="s">
        <v>613</v>
      </c>
      <c r="E14" s="237"/>
      <c r="F14" s="237"/>
      <c r="G14" s="237"/>
      <c r="H14" s="237"/>
      <c r="I14" s="237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</row>
    <row r="15" spans="1:34" ht="21.75" customHeight="1">
      <c r="A15" s="153"/>
      <c r="B15" s="154"/>
      <c r="C15" s="156"/>
      <c r="D15" s="156"/>
      <c r="E15" s="157"/>
      <c r="F15" s="157"/>
      <c r="G15" s="157"/>
      <c r="H15" s="157"/>
      <c r="I15" s="158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</row>
    <row r="16" spans="1:34" ht="21.75" customHeight="1">
      <c r="A16" s="296" t="s">
        <v>614</v>
      </c>
      <c r="B16" s="296"/>
      <c r="C16" s="296"/>
      <c r="D16" s="296"/>
      <c r="E16" s="296"/>
      <c r="F16" s="296"/>
      <c r="G16" s="296"/>
      <c r="H16" s="296"/>
      <c r="I16" s="296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</row>
    <row r="17" spans="1:9" ht="24" customHeight="1">
      <c r="A17" s="166" t="s">
        <v>111</v>
      </c>
      <c r="B17" s="167" t="s">
        <v>615</v>
      </c>
      <c r="C17" s="167" t="s">
        <v>236</v>
      </c>
      <c r="D17" s="167" t="s">
        <v>616</v>
      </c>
      <c r="E17" s="168" t="s">
        <v>617</v>
      </c>
      <c r="F17" s="168" t="s">
        <v>618</v>
      </c>
      <c r="G17" s="168" t="s">
        <v>619</v>
      </c>
      <c r="H17" s="168" t="s">
        <v>620</v>
      </c>
      <c r="I17" s="169" t="s">
        <v>241</v>
      </c>
    </row>
    <row r="18" spans="1:9" ht="24" customHeight="1">
      <c r="A18" s="146" t="s">
        <v>120</v>
      </c>
      <c r="B18" s="170" t="s">
        <v>621</v>
      </c>
      <c r="C18" s="148">
        <f>Model_Data!D19</f>
        <v>5953.12</v>
      </c>
      <c r="D18" s="171">
        <v>27</v>
      </c>
      <c r="E18" s="172">
        <v>36</v>
      </c>
      <c r="F18" s="148">
        <f>C18/D18</f>
        <v>220.48592592592593</v>
      </c>
      <c r="G18" s="148">
        <f>C18/E18</f>
        <v>165.36444444444444</v>
      </c>
      <c r="H18" s="162">
        <f>D18*(E18/3)</f>
        <v>324</v>
      </c>
      <c r="I18" s="152" t="s">
        <v>622</v>
      </c>
    </row>
    <row r="19" spans="1:9" ht="24" customHeight="1">
      <c r="A19" s="153" t="s">
        <v>124</v>
      </c>
      <c r="B19" s="173" t="s">
        <v>623</v>
      </c>
      <c r="C19" s="155">
        <f>Model_Data!F19</f>
        <v>2475</v>
      </c>
      <c r="D19" s="174">
        <v>14</v>
      </c>
      <c r="E19" s="175">
        <v>16</v>
      </c>
      <c r="F19" s="155">
        <f>C19/D19</f>
        <v>176.78571428571428</v>
      </c>
      <c r="G19" s="155">
        <f>C19/E19</f>
        <v>154.6875</v>
      </c>
      <c r="H19" s="176">
        <f>D19*(E19/2)</f>
        <v>112</v>
      </c>
      <c r="I19" s="158" t="s">
        <v>624</v>
      </c>
    </row>
    <row r="20" spans="1:9" ht="24" customHeight="1">
      <c r="A20" s="146" t="s">
        <v>128</v>
      </c>
      <c r="B20" s="170" t="s">
        <v>623</v>
      </c>
      <c r="C20" s="148">
        <f>Model_Data!E19</f>
        <v>3000</v>
      </c>
      <c r="D20" s="171">
        <v>12</v>
      </c>
      <c r="E20" s="171">
        <v>24</v>
      </c>
      <c r="F20" s="148">
        <f>C20/D20</f>
        <v>250</v>
      </c>
      <c r="G20" s="148">
        <f>C20/E20</f>
        <v>125</v>
      </c>
      <c r="H20" s="162">
        <f>D20*(E20/2)</f>
        <v>144</v>
      </c>
      <c r="I20" s="152" t="s">
        <v>625</v>
      </c>
    </row>
    <row r="21" spans="1:9" ht="24" customHeight="1">
      <c r="A21" s="121" t="s">
        <v>420</v>
      </c>
      <c r="B21" s="121" t="s">
        <v>626</v>
      </c>
      <c r="C21" s="164">
        <f>SUM(C18:C20)</f>
        <v>11428.119999999999</v>
      </c>
      <c r="D21" s="177">
        <f>SUM(D18:D20)</f>
        <v>53</v>
      </c>
      <c r="E21" s="177">
        <f>SUM(E18:E20)</f>
        <v>76</v>
      </c>
      <c r="F21" s="164">
        <f>C21/D21</f>
        <v>215.62490566037735</v>
      </c>
      <c r="G21" s="164">
        <f>C21/E21</f>
        <v>150.36999999999998</v>
      </c>
      <c r="H21" s="177">
        <f>SUM(H18:H20)</f>
        <v>580</v>
      </c>
      <c r="I21" s="121"/>
    </row>
    <row r="22" spans="1:9" ht="15.75" customHeight="1">
      <c r="A22" s="237"/>
      <c r="B22" s="237"/>
      <c r="C22" s="178"/>
      <c r="D22" s="178"/>
      <c r="E22" s="178"/>
      <c r="F22" s="178"/>
      <c r="G22" s="178"/>
      <c r="H22" s="178"/>
      <c r="I22" s="237"/>
    </row>
    <row r="23" spans="1:9" ht="21.75" customHeight="1">
      <c r="A23" s="296" t="s">
        <v>627</v>
      </c>
      <c r="B23" s="296"/>
      <c r="C23" s="296"/>
      <c r="D23" s="296"/>
      <c r="E23" s="296"/>
      <c r="F23" s="296"/>
      <c r="G23" s="296"/>
      <c r="H23" s="296"/>
      <c r="I23" s="296"/>
    </row>
    <row r="24" spans="1:9" ht="30.75" customHeight="1">
      <c r="A24" s="166" t="s">
        <v>111</v>
      </c>
      <c r="B24" s="168" t="s">
        <v>628</v>
      </c>
      <c r="C24" s="168" t="s">
        <v>629</v>
      </c>
      <c r="D24" s="168" t="s">
        <v>630</v>
      </c>
      <c r="E24" s="179" t="s">
        <v>631</v>
      </c>
      <c r="F24" s="168" t="s">
        <v>632</v>
      </c>
      <c r="G24" s="168" t="s">
        <v>633</v>
      </c>
      <c r="H24" s="168" t="s">
        <v>634</v>
      </c>
      <c r="I24" s="169" t="s">
        <v>241</v>
      </c>
    </row>
    <row r="25" spans="1:9" ht="24" customHeight="1">
      <c r="A25" s="153" t="s">
        <v>120</v>
      </c>
      <c r="B25" s="180">
        <f>C18</f>
        <v>5953.12</v>
      </c>
      <c r="C25" s="155">
        <f>0</f>
        <v>0</v>
      </c>
      <c r="D25" s="155">
        <f>(Model_Data!R19+Model_Data!S19+Model_Data!T19+Model_Data!U19+Model_Data!Z19+Model_Data!AA19)*(E18/$C$12)</f>
        <v>2919.3773684210523</v>
      </c>
      <c r="E25" s="155">
        <f>(B25-C25)/G25</f>
        <v>220.48592592592593</v>
      </c>
      <c r="F25" s="181">
        <f>D25/E25</f>
        <v>13.240651783832412</v>
      </c>
      <c r="G25" s="181">
        <f>D18</f>
        <v>27</v>
      </c>
      <c r="H25" s="181">
        <f>G25-F25</f>
        <v>13.759348216167588</v>
      </c>
      <c r="I25" s="158" t="s">
        <v>635</v>
      </c>
    </row>
    <row r="26" spans="1:9" ht="24" customHeight="1">
      <c r="A26" s="146" t="s">
        <v>124</v>
      </c>
      <c r="B26" s="182">
        <f>C19</f>
        <v>2475</v>
      </c>
      <c r="C26" s="148">
        <f>0</f>
        <v>0</v>
      </c>
      <c r="D26" s="148">
        <f>(Model_Data!R19+Model_Data!S19+Model_Data!T19+Model_Data!U19+Model_Data!Z19+Model_Data!AA19)*(E19/$C$12)</f>
        <v>1297.5010526315789</v>
      </c>
      <c r="E26" s="148">
        <f>(B26-C26)/G26</f>
        <v>176.78571428571428</v>
      </c>
      <c r="F26" s="183">
        <f>D26/E26</f>
        <v>7.339399893673578</v>
      </c>
      <c r="G26" s="183">
        <f>D19</f>
        <v>14</v>
      </c>
      <c r="H26" s="183">
        <f>G26-F26</f>
        <v>6.660600106326422</v>
      </c>
      <c r="I26" s="152" t="s">
        <v>636</v>
      </c>
    </row>
    <row r="27" spans="1:9" ht="24" customHeight="1">
      <c r="A27" s="184" t="s">
        <v>128</v>
      </c>
      <c r="B27" s="180">
        <f>C20</f>
        <v>3000</v>
      </c>
      <c r="C27" s="155">
        <f>B27*40%</f>
        <v>1200</v>
      </c>
      <c r="D27" s="155">
        <f>(Model_Data!R19+Model_Data!S19+Model_Data!T19+Model_Data!U19+Model_Data!Z19+Model_Data!AA19)*(E20/$C$12)</f>
        <v>1946.2515789473684</v>
      </c>
      <c r="E27" s="185">
        <f>(B27-C27)/G27</f>
        <v>150</v>
      </c>
      <c r="F27" s="181">
        <f>D27/E27</f>
        <v>12.97501052631579</v>
      </c>
      <c r="G27" s="181">
        <f>D20</f>
        <v>12</v>
      </c>
      <c r="H27" s="181">
        <f>G27-F27</f>
        <v>-0.97501052631579022</v>
      </c>
      <c r="I27" s="158" t="s">
        <v>637</v>
      </c>
    </row>
    <row r="28" spans="1:9" ht="24" customHeight="1">
      <c r="A28" s="146" t="s">
        <v>638</v>
      </c>
      <c r="B28" s="182">
        <f>SUM(B25:B27)</f>
        <v>11428.119999999999</v>
      </c>
      <c r="C28" s="148">
        <f>SUM(C25:C27)</f>
        <v>1200</v>
      </c>
      <c r="D28" s="148">
        <f>SUM(D25:D27)</f>
        <v>6163.1299999999992</v>
      </c>
      <c r="E28" s="148">
        <f>(B28-C28)/G28</f>
        <v>192.98339622641507</v>
      </c>
      <c r="F28" s="183">
        <f>D28/E28</f>
        <v>31.93606351900447</v>
      </c>
      <c r="G28" s="183">
        <f>D21</f>
        <v>53</v>
      </c>
      <c r="H28" s="183">
        <f>G28-F28</f>
        <v>21.06393648099553</v>
      </c>
      <c r="I28" s="152" t="s">
        <v>639</v>
      </c>
    </row>
    <row r="29" spans="1:9" ht="21.75" customHeight="1">
      <c r="A29" s="153"/>
      <c r="B29" s="157"/>
      <c r="C29" s="157"/>
      <c r="D29" s="157"/>
      <c r="E29" s="156"/>
      <c r="F29" s="157"/>
      <c r="G29" s="157"/>
      <c r="H29" s="157"/>
      <c r="I29" s="158"/>
    </row>
    <row r="30" spans="1:9" ht="21.75" customHeight="1">
      <c r="A30" s="146"/>
      <c r="B30" s="151"/>
      <c r="C30" s="151"/>
      <c r="D30" s="151"/>
      <c r="E30" s="149"/>
      <c r="F30" s="151"/>
      <c r="G30" s="151"/>
      <c r="H30" s="151"/>
      <c r="I30" s="152"/>
    </row>
    <row r="31" spans="1:9" ht="21.75" customHeight="1">
      <c r="A31" s="292" t="s">
        <v>640</v>
      </c>
      <c r="B31" s="292"/>
      <c r="C31" s="292"/>
      <c r="D31" s="292"/>
      <c r="E31" s="292"/>
      <c r="F31" s="292"/>
      <c r="G31" s="292"/>
      <c r="H31" s="292"/>
      <c r="I31" s="292"/>
    </row>
    <row r="32" spans="1:9" ht="64.5" customHeight="1">
      <c r="A32" s="186" t="s">
        <v>641</v>
      </c>
      <c r="B32" s="151" t="s">
        <v>642</v>
      </c>
      <c r="C32" s="151"/>
      <c r="D32" s="151"/>
      <c r="E32" s="187"/>
      <c r="F32" s="151"/>
      <c r="G32" s="151"/>
      <c r="H32" s="151"/>
      <c r="I32" s="152"/>
    </row>
    <row r="33" spans="1:9" ht="70.5" customHeight="1">
      <c r="A33" s="188" t="s">
        <v>643</v>
      </c>
      <c r="B33" s="157" t="s">
        <v>644</v>
      </c>
      <c r="C33" s="157"/>
      <c r="D33" s="157"/>
      <c r="E33" s="160"/>
      <c r="F33" s="157"/>
      <c r="G33" s="157"/>
      <c r="H33" s="157"/>
      <c r="I33" s="158"/>
    </row>
    <row r="34" spans="1:9" ht="66" customHeight="1">
      <c r="A34" s="186" t="s">
        <v>645</v>
      </c>
      <c r="B34" s="151" t="s">
        <v>646</v>
      </c>
      <c r="C34" s="151"/>
      <c r="D34" s="151"/>
      <c r="E34" s="189"/>
      <c r="F34" s="151"/>
      <c r="G34" s="151"/>
      <c r="H34" s="151"/>
      <c r="I34" s="152"/>
    </row>
    <row r="35" spans="1:9" ht="21.75" customHeight="1">
      <c r="A35" s="184"/>
      <c r="B35" s="157"/>
      <c r="C35" s="157"/>
      <c r="D35" s="157"/>
      <c r="E35" s="190"/>
      <c r="F35" s="157"/>
      <c r="G35" s="157"/>
      <c r="H35" s="157"/>
      <c r="I35" s="158"/>
    </row>
    <row r="36" spans="1:9" ht="14.25" customHeight="1">
      <c r="A36" s="239"/>
      <c r="B36" s="239"/>
      <c r="C36" s="239"/>
      <c r="D36" s="239"/>
      <c r="E36" s="239"/>
      <c r="F36" s="239"/>
      <c r="G36" s="239"/>
      <c r="H36" s="239"/>
      <c r="I36" s="239"/>
    </row>
    <row r="37" spans="1:9" ht="15.75" customHeight="1">
      <c r="A37" s="309"/>
      <c r="B37" s="309"/>
      <c r="C37" s="309"/>
      <c r="D37" s="309"/>
      <c r="E37" s="309"/>
      <c r="F37" s="309"/>
      <c r="G37" s="309"/>
      <c r="H37" s="309"/>
      <c r="I37" s="309"/>
    </row>
    <row r="38" spans="1:9" ht="21.75" customHeight="1">
      <c r="A38" s="308"/>
      <c r="B38" s="308"/>
      <c r="C38" s="308"/>
      <c r="D38" s="308"/>
      <c r="E38" s="308"/>
      <c r="F38" s="308"/>
      <c r="G38" s="308"/>
      <c r="H38" s="308"/>
      <c r="I38" s="308"/>
    </row>
    <row r="39" spans="1:9" ht="18" customHeight="1">
      <c r="A39" s="310"/>
      <c r="B39" s="311"/>
      <c r="C39" s="312"/>
      <c r="D39" s="313"/>
      <c r="E39" s="314"/>
      <c r="F39" s="315"/>
      <c r="G39" s="316"/>
      <c r="H39" s="317"/>
      <c r="I39" s="318"/>
    </row>
    <row r="40" spans="1:9" ht="11.25" customHeight="1">
      <c r="A40" s="241"/>
      <c r="B40" s="242"/>
      <c r="C40" s="243"/>
      <c r="D40" s="244"/>
      <c r="E40" s="245"/>
      <c r="F40" s="246"/>
      <c r="G40" s="247"/>
      <c r="H40" s="248"/>
      <c r="I40" s="249"/>
    </row>
    <row r="41" spans="1:9" ht="12.75" customHeight="1">
      <c r="A41" s="241"/>
      <c r="B41" s="242"/>
      <c r="C41" s="242"/>
      <c r="D41" s="244"/>
      <c r="E41" s="245"/>
      <c r="F41" s="246"/>
      <c r="G41" s="247"/>
      <c r="H41" s="248"/>
      <c r="I41" s="249"/>
    </row>
    <row r="42" spans="1:9" ht="13.5" customHeight="1">
      <c r="A42" s="239"/>
      <c r="B42" s="239"/>
      <c r="C42" s="239"/>
      <c r="D42" s="239"/>
      <c r="E42" s="239"/>
      <c r="F42" s="239"/>
      <c r="G42" s="239"/>
      <c r="H42" s="239"/>
      <c r="I42" s="239"/>
    </row>
    <row r="43" spans="1:9" ht="15.75" customHeight="1">
      <c r="A43" s="240"/>
      <c r="B43" s="240"/>
      <c r="C43" s="240"/>
      <c r="D43" s="240"/>
      <c r="E43" s="240"/>
      <c r="F43" s="240"/>
      <c r="G43" s="240"/>
      <c r="H43" s="240"/>
      <c r="I43" s="240"/>
    </row>
    <row r="44" spans="1:9" ht="17.25" customHeight="1">
      <c r="A44" s="250"/>
      <c r="B44" s="251"/>
      <c r="C44" s="251"/>
      <c r="D44" s="251"/>
      <c r="E44" s="251"/>
      <c r="F44" s="251"/>
      <c r="G44" s="251"/>
      <c r="H44" s="251"/>
      <c r="I44" s="251"/>
    </row>
    <row r="45" spans="1:9" ht="20.25" customHeight="1">
      <c r="A45" s="250"/>
      <c r="B45" s="251"/>
      <c r="C45" s="251"/>
      <c r="D45" s="251"/>
      <c r="E45" s="251"/>
      <c r="F45" s="251"/>
      <c r="G45" s="251"/>
      <c r="H45" s="251"/>
      <c r="I45" s="251"/>
    </row>
    <row r="46" spans="1:9" ht="17.25" customHeight="1">
      <c r="A46" s="250"/>
      <c r="B46" s="251"/>
      <c r="C46" s="251"/>
      <c r="D46" s="251"/>
      <c r="E46" s="251"/>
      <c r="F46" s="251"/>
      <c r="G46" s="251"/>
      <c r="H46" s="251"/>
      <c r="I46" s="251"/>
    </row>
    <row r="47" spans="1:9" ht="16.5" customHeight="1">
      <c r="A47" s="250"/>
      <c r="B47" s="251"/>
      <c r="C47" s="251"/>
      <c r="D47" s="251"/>
      <c r="E47" s="251"/>
      <c r="F47" s="251"/>
      <c r="G47" s="251"/>
      <c r="H47" s="251"/>
      <c r="I47" s="251"/>
    </row>
    <row r="48" spans="1:9" ht="18.75" customHeight="1">
      <c r="A48" s="250"/>
      <c r="B48" s="251"/>
      <c r="C48" s="251"/>
      <c r="D48" s="251"/>
      <c r="E48" s="251"/>
      <c r="F48" s="251"/>
      <c r="G48" s="251"/>
      <c r="H48" s="251"/>
      <c r="I48" s="251"/>
    </row>
    <row r="49" spans="1:9" ht="15.75" customHeight="1">
      <c r="A49" s="252"/>
      <c r="B49" s="252"/>
      <c r="C49" s="252"/>
      <c r="D49" s="252"/>
      <c r="E49" s="252"/>
      <c r="F49" s="252"/>
      <c r="G49" s="252"/>
      <c r="H49" s="252"/>
      <c r="I49" s="252"/>
    </row>
    <row r="50" spans="1:9" ht="15" customHeight="1">
      <c r="A50" s="121"/>
      <c r="B50" s="121"/>
      <c r="C50" s="121"/>
      <c r="D50" s="121"/>
      <c r="E50" s="121"/>
      <c r="F50" s="121"/>
      <c r="G50" s="121"/>
      <c r="H50" s="121"/>
      <c r="I50" s="121"/>
    </row>
    <row r="51" spans="1:9" ht="15" customHeight="1">
      <c r="A51" s="121"/>
      <c r="B51" s="121"/>
      <c r="C51" s="121"/>
      <c r="D51" s="121"/>
      <c r="E51" s="121"/>
      <c r="F51" s="121"/>
      <c r="G51" s="121"/>
      <c r="H51" s="121"/>
      <c r="I51" s="121"/>
    </row>
    <row r="52" spans="1:9" ht="15" customHeight="1">
      <c r="A52" s="121"/>
      <c r="B52" s="121"/>
      <c r="C52" s="121"/>
      <c r="D52" s="121"/>
      <c r="E52" s="121"/>
      <c r="F52" s="121"/>
      <c r="G52" s="121"/>
      <c r="H52" s="121"/>
      <c r="I52" s="121"/>
    </row>
    <row r="53" spans="1:9" ht="15" customHeight="1">
      <c r="A53" s="121"/>
      <c r="B53" s="121"/>
      <c r="C53" s="121"/>
      <c r="D53" s="121"/>
      <c r="E53" s="121"/>
      <c r="F53" s="121"/>
      <c r="G53" s="121"/>
      <c r="H53" s="121"/>
      <c r="I53" s="121"/>
    </row>
    <row r="54" spans="1:9" ht="15" customHeight="1">
      <c r="A54" s="121"/>
      <c r="B54" s="121"/>
      <c r="C54" s="121"/>
      <c r="D54" s="121"/>
      <c r="E54" s="121"/>
      <c r="F54" s="121"/>
      <c r="G54" s="121"/>
      <c r="H54" s="121"/>
      <c r="I54" s="121"/>
    </row>
    <row r="55" spans="1:9" ht="15" customHeight="1">
      <c r="A55" s="121"/>
      <c r="B55" s="121"/>
      <c r="C55" s="121"/>
      <c r="D55" s="121"/>
      <c r="E55" s="121"/>
      <c r="F55" s="121"/>
      <c r="G55" s="121"/>
      <c r="H55" s="121"/>
      <c r="I55" s="121"/>
    </row>
    <row r="56" spans="1:9" ht="15" customHeight="1">
      <c r="A56" s="121"/>
      <c r="B56" s="121"/>
      <c r="C56" s="121"/>
      <c r="D56" s="121"/>
      <c r="E56" s="121"/>
      <c r="F56" s="121"/>
      <c r="G56" s="121"/>
      <c r="H56" s="121"/>
      <c r="I56" s="121"/>
    </row>
    <row r="57" spans="1:9" ht="15" customHeight="1">
      <c r="A57" s="121"/>
      <c r="B57" s="121"/>
      <c r="C57" s="121"/>
      <c r="D57" s="121"/>
      <c r="E57" s="121"/>
      <c r="F57" s="121"/>
      <c r="G57" s="121"/>
      <c r="H57" s="121"/>
      <c r="I57" s="121"/>
    </row>
    <row r="58" spans="1:9" ht="15" customHeight="1">
      <c r="A58" s="121"/>
      <c r="B58" s="121"/>
      <c r="C58" s="121"/>
      <c r="D58" s="121"/>
      <c r="E58" s="121"/>
      <c r="F58" s="121"/>
      <c r="G58" s="121"/>
      <c r="H58" s="121"/>
      <c r="I58" s="121"/>
    </row>
    <row r="59" spans="1:9" ht="15" customHeight="1">
      <c r="A59" s="121"/>
      <c r="B59" s="121"/>
      <c r="C59" s="121"/>
      <c r="D59" s="121"/>
      <c r="E59" s="121"/>
      <c r="F59" s="121"/>
      <c r="G59" s="121"/>
      <c r="H59" s="121"/>
      <c r="I59" s="121"/>
    </row>
    <row r="60" spans="1:9" ht="15" customHeight="1">
      <c r="A60" s="121"/>
      <c r="B60" s="121"/>
      <c r="C60" s="121"/>
      <c r="D60" s="121"/>
      <c r="E60" s="121"/>
      <c r="F60" s="121"/>
      <c r="G60" s="121"/>
      <c r="H60" s="121"/>
      <c r="I60" s="121"/>
    </row>
    <row r="61" spans="1:9" ht="15" customHeight="1">
      <c r="A61" s="121"/>
      <c r="B61" s="121"/>
      <c r="C61" s="121"/>
      <c r="D61" s="121"/>
      <c r="E61" s="121"/>
      <c r="F61" s="121"/>
      <c r="G61" s="121"/>
      <c r="H61" s="121"/>
      <c r="I61" s="121"/>
    </row>
    <row r="62" spans="1:9" ht="15" customHeight="1">
      <c r="A62" s="121"/>
      <c r="B62" s="121"/>
      <c r="C62" s="121"/>
      <c r="D62" s="121"/>
      <c r="E62" s="121"/>
      <c r="F62" s="121"/>
      <c r="G62" s="121"/>
      <c r="H62" s="121"/>
      <c r="I62" s="121"/>
    </row>
    <row r="63" spans="1:9" ht="15" customHeight="1">
      <c r="A63" s="121"/>
      <c r="B63" s="121"/>
      <c r="C63" s="121"/>
      <c r="D63" s="121"/>
      <c r="E63" s="121"/>
      <c r="F63" s="121"/>
      <c r="G63" s="121"/>
      <c r="H63" s="121"/>
      <c r="I63" s="121"/>
    </row>
    <row r="64" spans="1:9" ht="15" customHeight="1">
      <c r="A64" s="121"/>
      <c r="B64" s="121"/>
      <c r="C64" s="121"/>
      <c r="D64" s="121"/>
      <c r="E64" s="121"/>
      <c r="F64" s="121"/>
      <c r="G64" s="121"/>
      <c r="H64" s="121"/>
      <c r="I64" s="121"/>
    </row>
    <row r="65" spans="1:9" ht="15" customHeight="1">
      <c r="A65" s="121"/>
      <c r="B65" s="121"/>
      <c r="C65" s="121"/>
      <c r="D65" s="121"/>
      <c r="E65" s="121"/>
      <c r="F65" s="121"/>
      <c r="G65" s="121"/>
      <c r="H65" s="121"/>
      <c r="I65" s="121"/>
    </row>
    <row r="66" spans="1:9" ht="15" customHeight="1">
      <c r="A66" s="121"/>
      <c r="B66" s="121"/>
      <c r="C66" s="121"/>
      <c r="D66" s="121"/>
      <c r="E66" s="121"/>
      <c r="F66" s="121"/>
      <c r="G66" s="121"/>
      <c r="H66" s="121"/>
      <c r="I66" s="121"/>
    </row>
    <row r="67" spans="1:9" ht="15" customHeight="1">
      <c r="A67" s="121"/>
      <c r="B67" s="121"/>
      <c r="C67" s="121"/>
      <c r="D67" s="121"/>
      <c r="E67" s="121"/>
      <c r="F67" s="121"/>
      <c r="G67" s="121"/>
      <c r="H67" s="121"/>
      <c r="I67" s="121"/>
    </row>
    <row r="68" spans="1:9" ht="15" customHeight="1">
      <c r="A68" s="121"/>
      <c r="B68" s="121"/>
      <c r="C68" s="121"/>
      <c r="D68" s="121"/>
      <c r="E68" s="121"/>
      <c r="F68" s="121"/>
      <c r="G68" s="121"/>
      <c r="H68" s="121"/>
      <c r="I68" s="121"/>
    </row>
    <row r="69" spans="1:9" ht="15" customHeight="1">
      <c r="A69" s="121"/>
      <c r="B69" s="121"/>
      <c r="C69" s="121"/>
      <c r="D69" s="121"/>
      <c r="E69" s="121"/>
      <c r="F69" s="121"/>
      <c r="G69" s="121"/>
      <c r="H69" s="121"/>
      <c r="I69" s="121"/>
    </row>
    <row r="70" spans="1:9" ht="15" customHeight="1">
      <c r="A70" s="121"/>
      <c r="B70" s="121"/>
      <c r="C70" s="121"/>
      <c r="D70" s="121"/>
      <c r="E70" s="121"/>
      <c r="F70" s="121"/>
      <c r="G70" s="121"/>
      <c r="H70" s="121"/>
      <c r="I70" s="121"/>
    </row>
    <row r="71" spans="1:9" ht="15" customHeight="1">
      <c r="A71" s="121"/>
      <c r="B71" s="121"/>
      <c r="C71" s="121"/>
      <c r="D71" s="121"/>
      <c r="E71" s="121"/>
      <c r="F71" s="121"/>
      <c r="G71" s="121"/>
      <c r="H71" s="121"/>
      <c r="I71" s="121"/>
    </row>
    <row r="72" spans="1:9" ht="15" customHeight="1">
      <c r="A72" s="121"/>
      <c r="B72" s="121"/>
      <c r="C72" s="121"/>
      <c r="D72" s="121"/>
      <c r="E72" s="121"/>
      <c r="F72" s="121"/>
      <c r="G72" s="121"/>
      <c r="H72" s="121"/>
      <c r="I72" s="121"/>
    </row>
    <row r="73" spans="1:9" ht="15" customHeight="1">
      <c r="A73" s="121"/>
      <c r="B73" s="121"/>
      <c r="C73" s="121"/>
      <c r="D73" s="121"/>
      <c r="E73" s="121"/>
      <c r="F73" s="121"/>
      <c r="G73" s="121"/>
      <c r="H73" s="121"/>
      <c r="I73" s="121"/>
    </row>
    <row r="74" spans="1:9" ht="15" customHeight="1">
      <c r="A74" s="121"/>
      <c r="B74" s="121"/>
      <c r="C74" s="121"/>
      <c r="D74" s="121"/>
      <c r="E74" s="121"/>
      <c r="F74" s="121"/>
      <c r="G74" s="121"/>
      <c r="H74" s="121"/>
      <c r="I74" s="121"/>
    </row>
    <row r="75" spans="1:9" ht="15" customHeight="1">
      <c r="A75" s="121"/>
      <c r="B75" s="121"/>
      <c r="C75" s="121"/>
      <c r="D75" s="121"/>
      <c r="E75" s="121"/>
      <c r="F75" s="121"/>
      <c r="G75" s="121"/>
      <c r="H75" s="121"/>
      <c r="I75" s="121"/>
    </row>
    <row r="76" spans="1:9" ht="15" customHeight="1">
      <c r="A76" s="121"/>
      <c r="B76" s="121"/>
      <c r="C76" s="121"/>
      <c r="D76" s="121"/>
      <c r="E76" s="121"/>
      <c r="F76" s="121"/>
      <c r="G76" s="121"/>
      <c r="H76" s="121"/>
      <c r="I76" s="121"/>
    </row>
    <row r="77" spans="1:9" ht="15" customHeight="1">
      <c r="A77" s="121"/>
      <c r="B77" s="121"/>
      <c r="C77" s="121"/>
      <c r="D77" s="121"/>
      <c r="E77" s="121"/>
      <c r="F77" s="121"/>
      <c r="G77" s="121"/>
      <c r="H77" s="121"/>
      <c r="I77" s="121"/>
    </row>
    <row r="78" spans="1:9" ht="15" customHeight="1">
      <c r="A78" s="121"/>
      <c r="B78" s="121"/>
      <c r="C78" s="121"/>
      <c r="D78" s="121"/>
      <c r="E78" s="121"/>
      <c r="F78" s="121"/>
      <c r="G78" s="121"/>
      <c r="H78" s="121"/>
      <c r="I78" s="121"/>
    </row>
    <row r="79" spans="1:9" ht="15" customHeight="1">
      <c r="A79" s="121"/>
      <c r="B79" s="121"/>
      <c r="C79" s="121"/>
      <c r="D79" s="121"/>
      <c r="E79" s="121"/>
      <c r="F79" s="121"/>
      <c r="G79" s="121"/>
      <c r="H79" s="121"/>
      <c r="I79" s="121"/>
    </row>
    <row r="80" spans="1:9" ht="15" customHeight="1">
      <c r="A80" s="121"/>
      <c r="B80" s="121"/>
      <c r="C80" s="121"/>
      <c r="D80" s="121"/>
      <c r="E80" s="121"/>
      <c r="F80" s="121"/>
      <c r="G80" s="121"/>
      <c r="H80" s="121"/>
      <c r="I80" s="121"/>
    </row>
  </sheetData>
  <mergeCells count="6">
    <mergeCell ref="A31:I31"/>
    <mergeCell ref="A1:I1"/>
    <mergeCell ref="A2:I2"/>
    <mergeCell ref="A4:I4"/>
    <mergeCell ref="A16:I16"/>
    <mergeCell ref="A23:I23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00"/>
  <sheetViews>
    <sheetView zoomScaleNormal="100" workbookViewId="0"/>
  </sheetViews>
  <sheetFormatPr defaultColWidth="8.7109375" defaultRowHeight="15"/>
  <cols>
    <col min="1" max="1" width="24" style="13" customWidth="1"/>
    <col min="2" max="2" width="22" style="13" customWidth="1"/>
    <col min="3" max="3" width="24" style="13" customWidth="1"/>
    <col min="4" max="4" width="38" style="13" customWidth="1"/>
    <col min="5" max="6" width="24" style="13" customWidth="1"/>
    <col min="7" max="7" width="34" style="13" customWidth="1"/>
  </cols>
  <sheetData>
    <row r="1" spans="1:26" ht="24" customHeight="1">
      <c r="A1" s="297" t="s">
        <v>647</v>
      </c>
      <c r="B1" s="297"/>
      <c r="C1" s="297"/>
      <c r="D1" s="297"/>
      <c r="E1" s="297"/>
      <c r="F1" s="297"/>
      <c r="G1" s="297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5"/>
    </row>
    <row r="2" spans="1:26" ht="25.5" customHeight="1">
      <c r="A2" s="291" t="s">
        <v>648</v>
      </c>
      <c r="B2" s="291"/>
      <c r="C2" s="291"/>
      <c r="D2" s="291"/>
      <c r="E2" s="291"/>
      <c r="F2" s="291"/>
      <c r="G2" s="291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</row>
    <row r="3" spans="1:26" ht="15" customHeight="1">
      <c r="A3" s="135"/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5"/>
    </row>
    <row r="4" spans="1:26" ht="15" customHeight="1">
      <c r="A4" s="192" t="s">
        <v>649</v>
      </c>
      <c r="B4" s="192" t="s">
        <v>650</v>
      </c>
      <c r="C4" s="192" t="s">
        <v>651</v>
      </c>
      <c r="D4" s="192" t="s">
        <v>652</v>
      </c>
      <c r="E4" s="192" t="s">
        <v>653</v>
      </c>
      <c r="F4" s="192" t="s">
        <v>654</v>
      </c>
      <c r="G4" s="192" t="s">
        <v>119</v>
      </c>
      <c r="H4" s="135"/>
      <c r="I4" s="135"/>
      <c r="J4" s="135"/>
      <c r="K4" s="135"/>
      <c r="L4" s="135"/>
      <c r="M4" s="135"/>
      <c r="N4" s="135"/>
      <c r="O4" s="135"/>
      <c r="P4" s="135"/>
      <c r="Q4" s="135"/>
      <c r="R4" s="135"/>
      <c r="S4" s="135"/>
      <c r="T4" s="135"/>
      <c r="U4" s="135"/>
      <c r="V4" s="135"/>
      <c r="W4" s="135"/>
      <c r="X4" s="135"/>
      <c r="Y4" s="135"/>
      <c r="Z4" s="135"/>
    </row>
    <row r="5" spans="1:26" ht="27" customHeight="1">
      <c r="A5" s="193" t="s">
        <v>655</v>
      </c>
      <c r="B5" s="193" t="s">
        <v>656</v>
      </c>
      <c r="C5" s="193" t="s">
        <v>558</v>
      </c>
      <c r="D5" s="193" t="s">
        <v>657</v>
      </c>
      <c r="E5" s="193" t="s">
        <v>658</v>
      </c>
      <c r="F5" s="193" t="s">
        <v>659</v>
      </c>
      <c r="G5" s="193" t="s">
        <v>660</v>
      </c>
      <c r="H5" s="135"/>
      <c r="I5" s="135"/>
      <c r="J5" s="135"/>
      <c r="K5" s="135"/>
      <c r="L5" s="135"/>
      <c r="M5" s="135"/>
      <c r="N5" s="135"/>
      <c r="O5" s="135"/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35"/>
    </row>
    <row r="6" spans="1:26" ht="15" customHeight="1">
      <c r="A6" s="193" t="s">
        <v>661</v>
      </c>
      <c r="B6" s="193" t="s">
        <v>662</v>
      </c>
      <c r="C6" s="193" t="s">
        <v>558</v>
      </c>
      <c r="D6" s="193" t="s">
        <v>663</v>
      </c>
      <c r="E6" s="193" t="s">
        <v>664</v>
      </c>
      <c r="F6" s="193" t="s">
        <v>665</v>
      </c>
      <c r="G6" s="193" t="s">
        <v>666</v>
      </c>
      <c r="H6" s="135"/>
      <c r="I6" s="135"/>
      <c r="J6" s="135"/>
      <c r="K6" s="135"/>
      <c r="L6" s="135"/>
      <c r="M6" s="135"/>
      <c r="N6" s="135"/>
      <c r="O6" s="135"/>
      <c r="P6" s="135"/>
      <c r="Q6" s="135"/>
      <c r="R6" s="135"/>
      <c r="S6" s="135"/>
      <c r="T6" s="135"/>
      <c r="U6" s="135"/>
      <c r="V6" s="135"/>
      <c r="W6" s="135"/>
      <c r="X6" s="135"/>
      <c r="Y6" s="135"/>
      <c r="Z6" s="135"/>
    </row>
    <row r="7" spans="1:26" ht="15" customHeight="1">
      <c r="A7" s="193" t="s">
        <v>667</v>
      </c>
      <c r="B7" s="193" t="s">
        <v>437</v>
      </c>
      <c r="C7" s="193" t="s">
        <v>558</v>
      </c>
      <c r="D7" s="193" t="s">
        <v>668</v>
      </c>
      <c r="E7" s="193" t="s">
        <v>669</v>
      </c>
      <c r="F7" s="193" t="s">
        <v>670</v>
      </c>
      <c r="G7" s="193" t="s">
        <v>671</v>
      </c>
      <c r="H7" s="135"/>
      <c r="I7" s="135"/>
      <c r="J7" s="135"/>
      <c r="K7" s="135"/>
      <c r="L7" s="135"/>
      <c r="M7" s="135"/>
      <c r="N7" s="135"/>
      <c r="O7" s="135"/>
      <c r="P7" s="135"/>
      <c r="Q7" s="135"/>
      <c r="R7" s="135"/>
      <c r="S7" s="135"/>
      <c r="T7" s="135"/>
      <c r="U7" s="135"/>
      <c r="V7" s="135"/>
      <c r="W7" s="135"/>
      <c r="X7" s="135"/>
      <c r="Y7" s="135"/>
      <c r="Z7" s="135"/>
    </row>
    <row r="8" spans="1:26" ht="30.75" customHeight="1">
      <c r="A8" s="193" t="s">
        <v>672</v>
      </c>
      <c r="B8" s="193" t="s">
        <v>673</v>
      </c>
      <c r="C8" s="193" t="s">
        <v>674</v>
      </c>
      <c r="D8" s="193" t="s">
        <v>675</v>
      </c>
      <c r="E8" s="193" t="s">
        <v>41</v>
      </c>
      <c r="F8" s="193" t="s">
        <v>676</v>
      </c>
      <c r="G8" s="193" t="s">
        <v>677</v>
      </c>
      <c r="H8" s="135"/>
      <c r="I8" s="135"/>
      <c r="J8" s="135"/>
      <c r="K8" s="135"/>
      <c r="L8" s="135"/>
      <c r="M8" s="135"/>
      <c r="N8" s="135"/>
      <c r="O8" s="135"/>
      <c r="P8" s="135"/>
      <c r="Q8" s="135"/>
      <c r="R8" s="135"/>
      <c r="S8" s="135"/>
      <c r="T8" s="135"/>
      <c r="U8" s="135"/>
      <c r="V8" s="135"/>
      <c r="W8" s="135"/>
      <c r="X8" s="135"/>
      <c r="Y8" s="135"/>
      <c r="Z8" s="135"/>
    </row>
    <row r="9" spans="1:26" ht="23.25" customHeight="1">
      <c r="A9" s="193" t="s">
        <v>200</v>
      </c>
      <c r="B9" s="193" t="s">
        <v>678</v>
      </c>
      <c r="C9" s="193" t="s">
        <v>558</v>
      </c>
      <c r="D9" s="193" t="s">
        <v>679</v>
      </c>
      <c r="E9" s="193" t="s">
        <v>680</v>
      </c>
      <c r="F9" s="193" t="s">
        <v>681</v>
      </c>
      <c r="G9" s="193" t="s">
        <v>682</v>
      </c>
      <c r="H9" s="135"/>
      <c r="I9" s="135"/>
      <c r="J9" s="135"/>
      <c r="K9" s="135"/>
      <c r="L9" s="135"/>
      <c r="M9" s="135"/>
      <c r="N9" s="135"/>
      <c r="O9" s="135"/>
      <c r="P9" s="135"/>
      <c r="Q9" s="135"/>
      <c r="R9" s="135"/>
      <c r="S9" s="135"/>
      <c r="T9" s="135"/>
      <c r="U9" s="135"/>
      <c r="V9" s="135"/>
      <c r="W9" s="135"/>
      <c r="X9" s="135"/>
      <c r="Y9" s="135"/>
      <c r="Z9" s="135"/>
    </row>
    <row r="10" spans="1:26" ht="15" customHeight="1">
      <c r="A10" s="193" t="s">
        <v>202</v>
      </c>
      <c r="B10" s="193" t="s">
        <v>683</v>
      </c>
      <c r="C10" s="193" t="s">
        <v>558</v>
      </c>
      <c r="D10" s="193" t="s">
        <v>684</v>
      </c>
      <c r="E10" s="193" t="s">
        <v>685</v>
      </c>
      <c r="F10" s="193" t="s">
        <v>686</v>
      </c>
      <c r="G10" s="193" t="s">
        <v>687</v>
      </c>
      <c r="H10" s="135"/>
      <c r="I10" s="135"/>
      <c r="J10" s="135"/>
      <c r="K10" s="135"/>
      <c r="L10" s="135"/>
      <c r="M10" s="135"/>
      <c r="N10" s="135"/>
      <c r="O10" s="135"/>
      <c r="P10" s="135"/>
      <c r="Q10" s="135"/>
      <c r="R10" s="135"/>
      <c r="S10" s="135"/>
      <c r="T10" s="135"/>
      <c r="U10" s="135"/>
      <c r="V10" s="135"/>
      <c r="W10" s="135"/>
      <c r="X10" s="135"/>
      <c r="Y10" s="135"/>
      <c r="Z10" s="135"/>
    </row>
    <row r="11" spans="1:26" ht="15" customHeight="1">
      <c r="A11" s="193" t="s">
        <v>198</v>
      </c>
      <c r="B11" s="193" t="s">
        <v>688</v>
      </c>
      <c r="C11" s="193" t="s">
        <v>558</v>
      </c>
      <c r="D11" s="193" t="s">
        <v>689</v>
      </c>
      <c r="E11" s="193" t="s">
        <v>690</v>
      </c>
      <c r="F11" s="193" t="s">
        <v>691</v>
      </c>
      <c r="G11" s="193" t="s">
        <v>692</v>
      </c>
      <c r="H11" s="135"/>
      <c r="I11" s="135"/>
      <c r="J11" s="135"/>
      <c r="K11" s="135"/>
      <c r="L11" s="135"/>
      <c r="M11" s="135"/>
      <c r="N11" s="135"/>
      <c r="O11" s="135"/>
      <c r="P11" s="135"/>
      <c r="Q11" s="135"/>
      <c r="R11" s="135"/>
      <c r="S11" s="135"/>
      <c r="T11" s="135"/>
      <c r="U11" s="135"/>
      <c r="V11" s="135"/>
      <c r="W11" s="135"/>
      <c r="X11" s="135"/>
      <c r="Y11" s="135"/>
      <c r="Z11" s="135"/>
    </row>
    <row r="12" spans="1:26" ht="15" customHeight="1">
      <c r="A12" s="193" t="s">
        <v>693</v>
      </c>
      <c r="B12" s="193" t="s">
        <v>694</v>
      </c>
      <c r="C12" s="193" t="s">
        <v>695</v>
      </c>
      <c r="D12" s="193" t="s">
        <v>696</v>
      </c>
      <c r="E12" s="193" t="s">
        <v>697</v>
      </c>
      <c r="F12" s="193" t="s">
        <v>698</v>
      </c>
      <c r="G12" s="193" t="s">
        <v>699</v>
      </c>
      <c r="H12" s="135"/>
      <c r="I12" s="135"/>
      <c r="J12" s="135"/>
      <c r="K12" s="135"/>
      <c r="L12" s="135"/>
      <c r="M12" s="135"/>
      <c r="N12" s="135"/>
      <c r="O12" s="135"/>
      <c r="P12" s="135"/>
      <c r="Q12" s="135"/>
      <c r="R12" s="135"/>
      <c r="S12" s="135"/>
      <c r="T12" s="135"/>
      <c r="U12" s="135"/>
      <c r="V12" s="135"/>
      <c r="W12" s="135"/>
      <c r="X12" s="135"/>
      <c r="Y12" s="135"/>
      <c r="Z12" s="135"/>
    </row>
    <row r="13" spans="1:26" ht="15" customHeight="1">
      <c r="A13" s="193" t="s">
        <v>700</v>
      </c>
      <c r="B13" s="193" t="s">
        <v>701</v>
      </c>
      <c r="C13" s="193" t="s">
        <v>695</v>
      </c>
      <c r="D13" s="193" t="s">
        <v>702</v>
      </c>
      <c r="E13" s="193" t="s">
        <v>703</v>
      </c>
      <c r="F13" s="193" t="s">
        <v>704</v>
      </c>
      <c r="G13" s="193" t="s">
        <v>705</v>
      </c>
      <c r="H13" s="135"/>
      <c r="I13" s="135"/>
      <c r="J13" s="135"/>
      <c r="K13" s="135"/>
      <c r="L13" s="135"/>
      <c r="M13" s="135"/>
      <c r="N13" s="135"/>
      <c r="O13" s="135"/>
      <c r="P13" s="135"/>
      <c r="Q13" s="135"/>
      <c r="R13" s="135"/>
      <c r="S13" s="135"/>
      <c r="T13" s="135"/>
      <c r="U13" s="135"/>
      <c r="V13" s="135"/>
      <c r="W13" s="135"/>
      <c r="X13" s="135"/>
      <c r="Y13" s="135"/>
      <c r="Z13" s="135"/>
    </row>
    <row r="14" spans="1:26" ht="23.25" customHeight="1">
      <c r="A14" s="193" t="s">
        <v>706</v>
      </c>
      <c r="B14" s="193" t="s">
        <v>707</v>
      </c>
      <c r="C14" s="193" t="s">
        <v>708</v>
      </c>
      <c r="D14" s="193" t="s">
        <v>709</v>
      </c>
      <c r="E14" s="193" t="s">
        <v>43</v>
      </c>
      <c r="F14" s="193" t="s">
        <v>710</v>
      </c>
      <c r="G14" s="193" t="s">
        <v>711</v>
      </c>
      <c r="H14" s="135"/>
      <c r="I14" s="135"/>
      <c r="J14" s="135"/>
      <c r="K14" s="135"/>
      <c r="L14" s="135"/>
      <c r="M14" s="135"/>
      <c r="N14" s="135"/>
      <c r="O14" s="135"/>
      <c r="P14" s="135"/>
      <c r="Q14" s="135"/>
      <c r="R14" s="135"/>
      <c r="S14" s="135"/>
      <c r="T14" s="135"/>
      <c r="U14" s="135"/>
      <c r="V14" s="135"/>
      <c r="W14" s="135"/>
      <c r="X14" s="135"/>
      <c r="Y14" s="135"/>
      <c r="Z14" s="135"/>
    </row>
    <row r="15" spans="1:26" ht="23.25" customHeight="1">
      <c r="A15" s="193" t="s">
        <v>172</v>
      </c>
      <c r="B15" s="193" t="s">
        <v>712</v>
      </c>
      <c r="C15" s="193" t="s">
        <v>674</v>
      </c>
      <c r="D15" s="193" t="s">
        <v>713</v>
      </c>
      <c r="E15" s="193" t="s">
        <v>714</v>
      </c>
      <c r="F15" s="193" t="s">
        <v>715</v>
      </c>
      <c r="G15" s="193" t="s">
        <v>716</v>
      </c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5"/>
    </row>
    <row r="16" spans="1:26" ht="15" customHeight="1">
      <c r="A16" s="193" t="s">
        <v>717</v>
      </c>
      <c r="B16" s="193" t="s">
        <v>718</v>
      </c>
      <c r="C16" s="193" t="s">
        <v>558</v>
      </c>
      <c r="D16" s="193" t="s">
        <v>719</v>
      </c>
      <c r="E16" s="193" t="s">
        <v>685</v>
      </c>
      <c r="F16" s="193" t="s">
        <v>720</v>
      </c>
      <c r="G16" s="193" t="s">
        <v>721</v>
      </c>
      <c r="H16" s="135"/>
      <c r="I16" s="135"/>
      <c r="J16" s="135"/>
      <c r="K16" s="135"/>
      <c r="L16" s="135"/>
      <c r="M16" s="135"/>
      <c r="N16" s="135"/>
      <c r="O16" s="135"/>
      <c r="P16" s="135"/>
      <c r="Q16" s="135"/>
      <c r="R16" s="135"/>
      <c r="S16" s="135"/>
      <c r="T16" s="135"/>
      <c r="U16" s="135"/>
      <c r="V16" s="135"/>
      <c r="W16" s="135"/>
      <c r="X16" s="135"/>
      <c r="Y16" s="135"/>
      <c r="Z16" s="135"/>
    </row>
    <row r="17" spans="1:26" ht="15" customHeight="1">
      <c r="A17" s="135"/>
      <c r="B17" s="135"/>
      <c r="C17" s="135"/>
      <c r="D17" s="135"/>
      <c r="E17" s="135"/>
      <c r="F17" s="135"/>
      <c r="G17" s="135"/>
      <c r="H17" s="135"/>
      <c r="I17" s="135"/>
      <c r="J17" s="135"/>
      <c r="K17" s="135"/>
      <c r="L17" s="135"/>
      <c r="M17" s="135"/>
      <c r="N17" s="135"/>
      <c r="O17" s="135"/>
      <c r="P17" s="135"/>
      <c r="Q17" s="135"/>
      <c r="R17" s="135"/>
      <c r="S17" s="135"/>
      <c r="T17" s="135"/>
      <c r="U17" s="135"/>
      <c r="V17" s="135"/>
      <c r="W17" s="135"/>
      <c r="X17" s="135"/>
      <c r="Y17" s="135"/>
      <c r="Z17" s="135"/>
    </row>
    <row r="18" spans="1:26" ht="15" customHeight="1">
      <c r="A18" s="135"/>
      <c r="B18" s="135"/>
      <c r="C18" s="135"/>
      <c r="D18" s="135"/>
      <c r="E18" s="135"/>
      <c r="F18" s="135"/>
      <c r="G18" s="135"/>
      <c r="H18" s="135"/>
      <c r="I18" s="135"/>
      <c r="J18" s="135"/>
      <c r="K18" s="135"/>
      <c r="L18" s="135"/>
      <c r="M18" s="135"/>
      <c r="N18" s="135"/>
      <c r="O18" s="135"/>
      <c r="P18" s="135"/>
      <c r="Q18" s="135"/>
      <c r="R18" s="135"/>
      <c r="S18" s="135"/>
      <c r="T18" s="135"/>
      <c r="U18" s="135"/>
      <c r="V18" s="135"/>
      <c r="W18" s="135"/>
      <c r="X18" s="135"/>
      <c r="Y18" s="135"/>
      <c r="Z18" s="135"/>
    </row>
    <row r="19" spans="1:26" ht="15" customHeight="1">
      <c r="A19" s="135"/>
      <c r="B19" s="135"/>
      <c r="C19" s="135"/>
      <c r="D19" s="135"/>
      <c r="E19" s="135"/>
      <c r="F19" s="135"/>
      <c r="G19" s="135"/>
      <c r="H19" s="135"/>
      <c r="I19" s="135"/>
      <c r="J19" s="135"/>
      <c r="K19" s="135"/>
      <c r="L19" s="135"/>
      <c r="M19" s="135"/>
      <c r="N19" s="135"/>
      <c r="O19" s="135"/>
      <c r="P19" s="135"/>
      <c r="Q19" s="135"/>
      <c r="R19" s="135"/>
      <c r="S19" s="135"/>
      <c r="T19" s="135"/>
      <c r="U19" s="135"/>
      <c r="V19" s="135"/>
      <c r="W19" s="135"/>
      <c r="X19" s="135"/>
      <c r="Y19" s="135"/>
      <c r="Z19" s="135"/>
    </row>
    <row r="20" spans="1:26" ht="15" customHeight="1">
      <c r="A20" s="135"/>
      <c r="B20" s="135"/>
      <c r="C20" s="135"/>
      <c r="D20" s="135"/>
      <c r="E20" s="135"/>
      <c r="F20" s="135"/>
      <c r="G20" s="135"/>
      <c r="H20" s="135"/>
      <c r="I20" s="135"/>
      <c r="J20" s="135"/>
      <c r="K20" s="135"/>
      <c r="L20" s="135"/>
      <c r="M20" s="135"/>
      <c r="N20" s="135"/>
      <c r="O20" s="135"/>
      <c r="P20" s="135"/>
      <c r="Q20" s="135"/>
      <c r="R20" s="135"/>
      <c r="S20" s="135"/>
      <c r="T20" s="135"/>
      <c r="U20" s="135"/>
      <c r="V20" s="135"/>
      <c r="W20" s="135"/>
      <c r="X20" s="135"/>
      <c r="Y20" s="135"/>
      <c r="Z20" s="135"/>
    </row>
    <row r="21" spans="1:26" ht="15" customHeight="1">
      <c r="A21" s="135"/>
      <c r="B21" s="135"/>
      <c r="C21" s="135"/>
      <c r="D21" s="135"/>
      <c r="E21" s="135"/>
      <c r="F21" s="135"/>
      <c r="G21" s="135"/>
      <c r="H21" s="135"/>
      <c r="I21" s="135"/>
      <c r="J21" s="135"/>
      <c r="K21" s="135"/>
      <c r="L21" s="135"/>
      <c r="M21" s="135"/>
      <c r="N21" s="135"/>
      <c r="O21" s="135"/>
      <c r="P21" s="135"/>
      <c r="Q21" s="135"/>
      <c r="R21" s="135"/>
      <c r="S21" s="135"/>
      <c r="T21" s="135"/>
      <c r="U21" s="135"/>
      <c r="V21" s="135"/>
      <c r="W21" s="135"/>
      <c r="X21" s="135"/>
      <c r="Y21" s="135"/>
      <c r="Z21" s="135"/>
    </row>
    <row r="22" spans="1:26" ht="15" customHeight="1">
      <c r="A22" s="135"/>
      <c r="B22" s="135"/>
      <c r="C22" s="135"/>
      <c r="D22" s="135"/>
      <c r="E22" s="135"/>
      <c r="F22" s="135"/>
      <c r="G22" s="135"/>
      <c r="H22" s="135"/>
      <c r="I22" s="135"/>
      <c r="J22" s="135"/>
      <c r="K22" s="135"/>
      <c r="L22" s="135"/>
      <c r="M22" s="135"/>
      <c r="N22" s="135"/>
      <c r="O22" s="135"/>
      <c r="P22" s="135"/>
      <c r="Q22" s="135"/>
      <c r="R22" s="135"/>
      <c r="S22" s="135"/>
      <c r="T22" s="135"/>
      <c r="U22" s="135"/>
      <c r="V22" s="135"/>
      <c r="W22" s="135"/>
      <c r="X22" s="135"/>
      <c r="Y22" s="135"/>
      <c r="Z22" s="135"/>
    </row>
    <row r="23" spans="1:26" ht="15" customHeight="1">
      <c r="A23" s="135"/>
      <c r="B23" s="135"/>
      <c r="C23" s="135"/>
      <c r="D23" s="135"/>
      <c r="E23" s="135"/>
      <c r="F23" s="135"/>
      <c r="G23" s="135"/>
      <c r="H23" s="135"/>
      <c r="I23" s="135"/>
      <c r="J23" s="135"/>
      <c r="K23" s="135"/>
      <c r="L23" s="135"/>
      <c r="M23" s="135"/>
      <c r="N23" s="135"/>
      <c r="O23" s="135"/>
      <c r="P23" s="135"/>
      <c r="Q23" s="135"/>
      <c r="R23" s="135"/>
      <c r="S23" s="135"/>
      <c r="T23" s="135"/>
      <c r="U23" s="135"/>
      <c r="V23" s="135"/>
      <c r="W23" s="135"/>
      <c r="X23" s="135"/>
      <c r="Y23" s="135"/>
      <c r="Z23" s="135"/>
    </row>
    <row r="24" spans="1:26" ht="15" customHeight="1">
      <c r="A24" s="135"/>
      <c r="B24" s="135"/>
      <c r="C24" s="135"/>
      <c r="D24" s="135"/>
      <c r="E24" s="135"/>
      <c r="F24" s="135"/>
      <c r="G24" s="135"/>
      <c r="H24" s="135"/>
      <c r="I24" s="135"/>
      <c r="J24" s="135"/>
      <c r="K24" s="135"/>
      <c r="L24" s="135"/>
      <c r="M24" s="135"/>
      <c r="N24" s="135"/>
      <c r="O24" s="135"/>
      <c r="P24" s="135"/>
      <c r="Q24" s="135"/>
      <c r="R24" s="135"/>
      <c r="S24" s="135"/>
      <c r="T24" s="135"/>
      <c r="U24" s="135"/>
      <c r="V24" s="135"/>
      <c r="W24" s="135"/>
      <c r="X24" s="135"/>
      <c r="Y24" s="135"/>
      <c r="Z24" s="135"/>
    </row>
    <row r="25" spans="1:26" ht="15" customHeight="1">
      <c r="A25" s="135"/>
      <c r="B25" s="135"/>
      <c r="C25" s="135"/>
      <c r="D25" s="135"/>
      <c r="E25" s="135"/>
      <c r="F25" s="135"/>
      <c r="G25" s="135"/>
      <c r="H25" s="135"/>
      <c r="I25" s="135"/>
      <c r="J25" s="135"/>
      <c r="K25" s="135"/>
      <c r="L25" s="135"/>
      <c r="M25" s="135"/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35"/>
      <c r="Y25" s="135"/>
      <c r="Z25" s="135"/>
    </row>
    <row r="26" spans="1:26" ht="15" customHeight="1">
      <c r="A26" s="135"/>
      <c r="B26" s="135"/>
      <c r="C26" s="135"/>
      <c r="D26" s="135"/>
      <c r="E26" s="135"/>
      <c r="F26" s="135"/>
      <c r="G26" s="135"/>
      <c r="H26" s="135"/>
      <c r="I26" s="135"/>
      <c r="J26" s="135"/>
      <c r="K26" s="135"/>
      <c r="L26" s="135"/>
      <c r="M26" s="135"/>
      <c r="N26" s="135"/>
      <c r="O26" s="135"/>
      <c r="P26" s="135"/>
      <c r="Q26" s="135"/>
      <c r="R26" s="135"/>
      <c r="S26" s="135"/>
      <c r="T26" s="135"/>
      <c r="U26" s="135"/>
      <c r="V26" s="135"/>
      <c r="W26" s="135"/>
      <c r="X26" s="135"/>
      <c r="Y26" s="135"/>
      <c r="Z26" s="135"/>
    </row>
    <row r="27" spans="1:26" ht="15" customHeight="1">
      <c r="A27" s="135"/>
      <c r="B27" s="135"/>
      <c r="C27" s="135"/>
      <c r="D27" s="135"/>
      <c r="E27" s="135"/>
      <c r="F27" s="135"/>
      <c r="G27" s="135"/>
      <c r="H27" s="135"/>
      <c r="I27" s="135"/>
      <c r="J27" s="135"/>
      <c r="K27" s="135"/>
      <c r="L27" s="135"/>
      <c r="M27" s="135"/>
      <c r="N27" s="135"/>
      <c r="O27" s="135"/>
      <c r="P27" s="135"/>
      <c r="Q27" s="135"/>
      <c r="R27" s="135"/>
      <c r="S27" s="135"/>
      <c r="T27" s="135"/>
      <c r="U27" s="135"/>
      <c r="V27" s="135"/>
      <c r="W27" s="135"/>
      <c r="X27" s="135"/>
      <c r="Y27" s="135"/>
      <c r="Z27" s="135"/>
    </row>
    <row r="28" spans="1:26" ht="15" customHeight="1">
      <c r="A28" s="135"/>
      <c r="B28" s="135"/>
      <c r="C28" s="135"/>
      <c r="D28" s="135"/>
      <c r="E28" s="135"/>
      <c r="F28" s="135"/>
      <c r="G28" s="135"/>
      <c r="H28" s="135"/>
      <c r="I28" s="135"/>
      <c r="J28" s="135"/>
      <c r="K28" s="135"/>
      <c r="L28" s="135"/>
      <c r="M28" s="135"/>
      <c r="N28" s="135"/>
      <c r="O28" s="135"/>
      <c r="P28" s="135"/>
      <c r="Q28" s="135"/>
      <c r="R28" s="135"/>
      <c r="S28" s="135"/>
      <c r="T28" s="135"/>
      <c r="U28" s="135"/>
      <c r="V28" s="135"/>
      <c r="W28" s="135"/>
      <c r="X28" s="135"/>
      <c r="Y28" s="135"/>
      <c r="Z28" s="135"/>
    </row>
    <row r="29" spans="1:26" ht="15" customHeight="1">
      <c r="A29" s="135"/>
      <c r="B29" s="135"/>
      <c r="C29" s="135"/>
      <c r="D29" s="135"/>
      <c r="E29" s="135"/>
      <c r="F29" s="135"/>
      <c r="G29" s="135"/>
      <c r="H29" s="135"/>
      <c r="I29" s="135"/>
      <c r="J29" s="135"/>
      <c r="K29" s="135"/>
      <c r="L29" s="135"/>
      <c r="M29" s="135"/>
      <c r="N29" s="135"/>
      <c r="O29" s="135"/>
      <c r="P29" s="135"/>
      <c r="Q29" s="135"/>
      <c r="R29" s="135"/>
      <c r="S29" s="135"/>
      <c r="T29" s="135"/>
      <c r="U29" s="135"/>
      <c r="V29" s="135"/>
      <c r="W29" s="135"/>
      <c r="X29" s="135"/>
      <c r="Y29" s="135"/>
      <c r="Z29" s="135"/>
    </row>
    <row r="30" spans="1:26" ht="15" customHeight="1">
      <c r="A30" s="135"/>
      <c r="B30" s="135"/>
      <c r="C30" s="135"/>
      <c r="D30" s="135"/>
      <c r="E30" s="135"/>
      <c r="F30" s="135"/>
      <c r="G30" s="135"/>
      <c r="H30" s="135"/>
      <c r="I30" s="135"/>
      <c r="J30" s="135"/>
      <c r="K30" s="135"/>
      <c r="L30" s="135"/>
      <c r="M30" s="135"/>
      <c r="N30" s="135"/>
      <c r="O30" s="135"/>
      <c r="P30" s="135"/>
      <c r="Q30" s="135"/>
      <c r="R30" s="135"/>
      <c r="S30" s="135"/>
      <c r="T30" s="135"/>
      <c r="U30" s="135"/>
      <c r="V30" s="135"/>
      <c r="W30" s="135"/>
      <c r="X30" s="135"/>
      <c r="Y30" s="135"/>
      <c r="Z30" s="135"/>
    </row>
    <row r="31" spans="1:26" ht="15" customHeight="1">
      <c r="A31" s="135"/>
      <c r="B31" s="135"/>
      <c r="C31" s="135"/>
      <c r="D31" s="135"/>
      <c r="E31" s="135"/>
      <c r="F31" s="135"/>
      <c r="G31" s="135"/>
      <c r="H31" s="135"/>
      <c r="I31" s="135"/>
      <c r="J31" s="135"/>
      <c r="K31" s="135"/>
      <c r="L31" s="135"/>
      <c r="M31" s="135"/>
      <c r="N31" s="135"/>
      <c r="O31" s="135"/>
      <c r="P31" s="135"/>
      <c r="Q31" s="135"/>
      <c r="R31" s="135"/>
      <c r="S31" s="135"/>
      <c r="T31" s="135"/>
      <c r="U31" s="135"/>
      <c r="V31" s="135"/>
      <c r="W31" s="135"/>
      <c r="X31" s="135"/>
      <c r="Y31" s="135"/>
      <c r="Z31" s="135"/>
    </row>
    <row r="32" spans="1:26" ht="15" customHeight="1">
      <c r="A32" s="135"/>
      <c r="B32" s="135"/>
      <c r="C32" s="135"/>
      <c r="D32" s="135"/>
      <c r="E32" s="135"/>
      <c r="F32" s="135"/>
      <c r="G32" s="135"/>
      <c r="H32" s="135"/>
      <c r="I32" s="135"/>
      <c r="J32" s="135"/>
      <c r="K32" s="135"/>
      <c r="L32" s="135"/>
      <c r="M32" s="135"/>
      <c r="N32" s="135"/>
      <c r="O32" s="135"/>
      <c r="P32" s="135"/>
      <c r="Q32" s="135"/>
      <c r="R32" s="135"/>
      <c r="S32" s="135"/>
      <c r="T32" s="135"/>
      <c r="U32" s="135"/>
      <c r="V32" s="135"/>
      <c r="W32" s="135"/>
      <c r="X32" s="135"/>
      <c r="Y32" s="135"/>
      <c r="Z32" s="135"/>
    </row>
    <row r="33" spans="1:26" ht="15" customHeight="1">
      <c r="A33" s="135"/>
      <c r="B33" s="135"/>
      <c r="C33" s="135"/>
      <c r="D33" s="135"/>
      <c r="E33" s="135"/>
      <c r="F33" s="135"/>
      <c r="G33" s="135"/>
      <c r="H33" s="135"/>
      <c r="I33" s="135"/>
      <c r="J33" s="135"/>
      <c r="K33" s="135"/>
      <c r="L33" s="135"/>
      <c r="M33" s="135"/>
      <c r="N33" s="135"/>
      <c r="O33" s="135"/>
      <c r="P33" s="135"/>
      <c r="Q33" s="135"/>
      <c r="R33" s="135"/>
      <c r="S33" s="135"/>
      <c r="T33" s="135"/>
      <c r="U33" s="135"/>
      <c r="V33" s="135"/>
      <c r="W33" s="135"/>
      <c r="X33" s="135"/>
      <c r="Y33" s="135"/>
      <c r="Z33" s="135"/>
    </row>
    <row r="34" spans="1:26" ht="15" customHeight="1">
      <c r="A34" s="135"/>
      <c r="B34" s="135"/>
      <c r="C34" s="135"/>
      <c r="D34" s="135"/>
      <c r="E34" s="135"/>
      <c r="F34" s="135"/>
      <c r="G34" s="135"/>
      <c r="H34" s="135"/>
      <c r="I34" s="135"/>
      <c r="J34" s="135"/>
      <c r="K34" s="135"/>
      <c r="L34" s="135"/>
      <c r="M34" s="135"/>
      <c r="N34" s="135"/>
      <c r="O34" s="135"/>
      <c r="P34" s="135"/>
      <c r="Q34" s="135"/>
      <c r="R34" s="135"/>
      <c r="S34" s="135"/>
      <c r="T34" s="135"/>
      <c r="U34" s="135"/>
      <c r="V34" s="135"/>
      <c r="W34" s="135"/>
      <c r="X34" s="135"/>
      <c r="Y34" s="135"/>
      <c r="Z34" s="135"/>
    </row>
    <row r="35" spans="1:26" ht="15" customHeight="1">
      <c r="A35" s="135"/>
      <c r="B35" s="135"/>
      <c r="C35" s="135"/>
      <c r="D35" s="135"/>
      <c r="E35" s="135"/>
      <c r="F35" s="135"/>
      <c r="G35" s="135"/>
      <c r="H35" s="135"/>
      <c r="I35" s="135"/>
      <c r="J35" s="135"/>
      <c r="K35" s="135"/>
      <c r="L35" s="135"/>
      <c r="M35" s="135"/>
      <c r="N35" s="135"/>
      <c r="O35" s="135"/>
      <c r="P35" s="135"/>
      <c r="Q35" s="135"/>
      <c r="R35" s="135"/>
      <c r="S35" s="135"/>
      <c r="T35" s="135"/>
      <c r="U35" s="135"/>
      <c r="V35" s="135"/>
      <c r="W35" s="135"/>
      <c r="X35" s="135"/>
      <c r="Y35" s="135"/>
      <c r="Z35" s="135"/>
    </row>
    <row r="36" spans="1:26" ht="15" customHeight="1">
      <c r="A36" s="135"/>
      <c r="B36" s="135"/>
      <c r="C36" s="135"/>
      <c r="D36" s="135"/>
      <c r="E36" s="135"/>
      <c r="F36" s="135"/>
      <c r="G36" s="135"/>
      <c r="H36" s="135"/>
      <c r="I36" s="135"/>
      <c r="J36" s="135"/>
      <c r="K36" s="135"/>
      <c r="L36" s="135"/>
      <c r="M36" s="135"/>
      <c r="N36" s="135"/>
      <c r="O36" s="135"/>
      <c r="P36" s="135"/>
      <c r="Q36" s="135"/>
      <c r="R36" s="135"/>
      <c r="S36" s="135"/>
      <c r="T36" s="135"/>
      <c r="U36" s="135"/>
      <c r="V36" s="135"/>
      <c r="W36" s="135"/>
      <c r="X36" s="135"/>
      <c r="Y36" s="135"/>
      <c r="Z36" s="135"/>
    </row>
    <row r="37" spans="1:26" ht="15" customHeight="1">
      <c r="A37" s="135"/>
      <c r="B37" s="135"/>
      <c r="C37" s="135"/>
      <c r="D37" s="135"/>
      <c r="E37" s="135"/>
      <c r="F37" s="135"/>
      <c r="G37" s="135"/>
      <c r="H37" s="135"/>
      <c r="I37" s="135"/>
      <c r="J37" s="135"/>
      <c r="K37" s="135"/>
      <c r="L37" s="135"/>
      <c r="M37" s="135"/>
      <c r="N37" s="135"/>
      <c r="O37" s="135"/>
      <c r="P37" s="135"/>
      <c r="Q37" s="135"/>
      <c r="R37" s="135"/>
      <c r="S37" s="135"/>
      <c r="T37" s="135"/>
      <c r="U37" s="135"/>
      <c r="V37" s="135"/>
      <c r="W37" s="135"/>
      <c r="X37" s="135"/>
      <c r="Y37" s="135"/>
      <c r="Z37" s="135"/>
    </row>
    <row r="38" spans="1:26" ht="15" customHeight="1">
      <c r="A38" s="135"/>
      <c r="B38" s="135"/>
      <c r="C38" s="135"/>
      <c r="D38" s="135"/>
      <c r="E38" s="135"/>
      <c r="F38" s="135"/>
      <c r="G38" s="135"/>
      <c r="H38" s="135"/>
      <c r="I38" s="135"/>
      <c r="J38" s="135"/>
      <c r="K38" s="135"/>
      <c r="L38" s="135"/>
      <c r="M38" s="135"/>
      <c r="N38" s="135"/>
      <c r="O38" s="135"/>
      <c r="P38" s="135"/>
      <c r="Q38" s="135"/>
      <c r="R38" s="135"/>
      <c r="S38" s="135"/>
      <c r="T38" s="135"/>
      <c r="U38" s="135"/>
      <c r="V38" s="135"/>
      <c r="W38" s="135"/>
      <c r="X38" s="135"/>
      <c r="Y38" s="135"/>
      <c r="Z38" s="135"/>
    </row>
    <row r="39" spans="1:26" ht="15" customHeight="1">
      <c r="A39" s="135"/>
      <c r="B39" s="135"/>
      <c r="C39" s="135"/>
      <c r="D39" s="135"/>
      <c r="E39" s="135"/>
      <c r="F39" s="135"/>
      <c r="G39" s="135"/>
      <c r="H39" s="135"/>
      <c r="I39" s="135"/>
      <c r="J39" s="135"/>
      <c r="K39" s="135"/>
      <c r="L39" s="135"/>
      <c r="M39" s="135"/>
      <c r="N39" s="135"/>
      <c r="O39" s="135"/>
      <c r="P39" s="135"/>
      <c r="Q39" s="135"/>
      <c r="R39" s="135"/>
      <c r="S39" s="135"/>
      <c r="T39" s="135"/>
      <c r="U39" s="135"/>
      <c r="V39" s="135"/>
      <c r="W39" s="135"/>
      <c r="X39" s="135"/>
      <c r="Y39" s="135"/>
      <c r="Z39" s="135"/>
    </row>
    <row r="40" spans="1:26" ht="15" customHeight="1">
      <c r="A40" s="135"/>
      <c r="B40" s="135"/>
      <c r="C40" s="135"/>
      <c r="D40" s="135"/>
      <c r="E40" s="135"/>
      <c r="F40" s="135"/>
      <c r="G40" s="135"/>
      <c r="H40" s="135"/>
      <c r="I40" s="135"/>
      <c r="J40" s="135"/>
      <c r="K40" s="135"/>
      <c r="L40" s="135"/>
      <c r="M40" s="135"/>
      <c r="N40" s="135"/>
      <c r="O40" s="135"/>
      <c r="P40" s="135"/>
      <c r="Q40" s="135"/>
      <c r="R40" s="135"/>
      <c r="S40" s="135"/>
      <c r="T40" s="135"/>
      <c r="U40" s="135"/>
      <c r="V40" s="135"/>
      <c r="W40" s="135"/>
      <c r="X40" s="135"/>
      <c r="Y40" s="135"/>
      <c r="Z40" s="135"/>
    </row>
    <row r="41" spans="1:26" ht="15" customHeight="1">
      <c r="A41" s="135"/>
      <c r="B41" s="135"/>
      <c r="C41" s="135"/>
      <c r="D41" s="135"/>
      <c r="E41" s="135"/>
      <c r="F41" s="135"/>
      <c r="G41" s="135"/>
      <c r="H41" s="135"/>
      <c r="I41" s="135"/>
      <c r="J41" s="135"/>
      <c r="K41" s="135"/>
      <c r="L41" s="135"/>
      <c r="M41" s="135"/>
      <c r="N41" s="135"/>
      <c r="O41" s="135"/>
      <c r="P41" s="135"/>
      <c r="Q41" s="135"/>
      <c r="R41" s="135"/>
      <c r="S41" s="135"/>
      <c r="T41" s="135"/>
      <c r="U41" s="135"/>
      <c r="V41" s="135"/>
      <c r="W41" s="135"/>
      <c r="X41" s="135"/>
      <c r="Y41" s="135"/>
      <c r="Z41" s="135"/>
    </row>
    <row r="42" spans="1:26" ht="15" customHeight="1">
      <c r="A42" s="135"/>
      <c r="B42" s="135"/>
      <c r="C42" s="135"/>
      <c r="D42" s="135"/>
      <c r="E42" s="135"/>
      <c r="F42" s="135"/>
      <c r="G42" s="135"/>
      <c r="H42" s="135"/>
      <c r="I42" s="135"/>
      <c r="J42" s="135"/>
      <c r="K42" s="135"/>
      <c r="L42" s="135"/>
      <c r="M42" s="135"/>
      <c r="N42" s="135"/>
      <c r="O42" s="135"/>
      <c r="P42" s="135"/>
      <c r="Q42" s="135"/>
      <c r="R42" s="135"/>
      <c r="S42" s="135"/>
      <c r="T42" s="135"/>
      <c r="U42" s="135"/>
      <c r="V42" s="135"/>
      <c r="W42" s="135"/>
      <c r="X42" s="135"/>
      <c r="Y42" s="135"/>
      <c r="Z42" s="135"/>
    </row>
    <row r="43" spans="1:26" ht="15" customHeight="1">
      <c r="A43" s="135"/>
      <c r="B43" s="135"/>
      <c r="C43" s="135"/>
      <c r="D43" s="135"/>
      <c r="E43" s="135"/>
      <c r="F43" s="135"/>
      <c r="G43" s="135"/>
      <c r="H43" s="135"/>
      <c r="I43" s="135"/>
      <c r="J43" s="135"/>
      <c r="K43" s="135"/>
      <c r="L43" s="135"/>
      <c r="M43" s="135"/>
      <c r="N43" s="135"/>
      <c r="O43" s="135"/>
      <c r="P43" s="135"/>
      <c r="Q43" s="135"/>
      <c r="R43" s="135"/>
      <c r="S43" s="135"/>
      <c r="T43" s="135"/>
      <c r="U43" s="135"/>
      <c r="V43" s="135"/>
      <c r="W43" s="135"/>
      <c r="X43" s="135"/>
      <c r="Y43" s="135"/>
      <c r="Z43" s="135"/>
    </row>
    <row r="44" spans="1:26" ht="15" customHeight="1">
      <c r="A44" s="135"/>
      <c r="B44" s="135"/>
      <c r="C44" s="135"/>
      <c r="D44" s="135"/>
      <c r="E44" s="135"/>
      <c r="F44" s="135"/>
      <c r="G44" s="135"/>
      <c r="H44" s="135"/>
      <c r="I44" s="135"/>
      <c r="J44" s="135"/>
      <c r="K44" s="135"/>
      <c r="L44" s="135"/>
      <c r="M44" s="135"/>
      <c r="N44" s="135"/>
      <c r="O44" s="135"/>
      <c r="P44" s="135"/>
      <c r="Q44" s="135"/>
      <c r="R44" s="135"/>
      <c r="S44" s="135"/>
      <c r="T44" s="135"/>
      <c r="U44" s="135"/>
      <c r="V44" s="135"/>
      <c r="W44" s="135"/>
      <c r="X44" s="135"/>
      <c r="Y44" s="135"/>
      <c r="Z44" s="135"/>
    </row>
    <row r="45" spans="1:26" ht="15" customHeight="1">
      <c r="A45" s="135"/>
      <c r="B45" s="135"/>
      <c r="C45" s="135"/>
      <c r="D45" s="135"/>
      <c r="E45" s="135"/>
      <c r="F45" s="135"/>
      <c r="G45" s="135"/>
      <c r="H45" s="135"/>
      <c r="I45" s="135"/>
      <c r="J45" s="135"/>
      <c r="K45" s="135"/>
      <c r="L45" s="135"/>
      <c r="M45" s="135"/>
      <c r="N45" s="135"/>
      <c r="O45" s="135"/>
      <c r="P45" s="135"/>
      <c r="Q45" s="135"/>
      <c r="R45" s="135"/>
      <c r="S45" s="135"/>
      <c r="T45" s="135"/>
      <c r="U45" s="135"/>
      <c r="V45" s="135"/>
      <c r="W45" s="135"/>
      <c r="X45" s="135"/>
      <c r="Y45" s="135"/>
      <c r="Z45" s="135"/>
    </row>
    <row r="46" spans="1:26" ht="15" customHeight="1">
      <c r="A46" s="135"/>
      <c r="B46" s="135"/>
      <c r="C46" s="135"/>
      <c r="D46" s="135"/>
      <c r="E46" s="135"/>
      <c r="F46" s="135"/>
      <c r="G46" s="135"/>
      <c r="H46" s="135"/>
      <c r="I46" s="135"/>
      <c r="J46" s="135"/>
      <c r="K46" s="135"/>
      <c r="L46" s="135"/>
      <c r="M46" s="135"/>
      <c r="N46" s="135"/>
      <c r="O46" s="135"/>
      <c r="P46" s="135"/>
      <c r="Q46" s="135"/>
      <c r="R46" s="135"/>
      <c r="S46" s="135"/>
      <c r="T46" s="135"/>
      <c r="U46" s="135"/>
      <c r="V46" s="135"/>
      <c r="W46" s="135"/>
      <c r="X46" s="135"/>
      <c r="Y46" s="135"/>
      <c r="Z46" s="135"/>
    </row>
    <row r="47" spans="1:26" ht="15" customHeight="1">
      <c r="A47" s="135"/>
      <c r="B47" s="135"/>
      <c r="C47" s="135"/>
      <c r="D47" s="135"/>
      <c r="E47" s="135"/>
      <c r="F47" s="135"/>
      <c r="G47" s="135"/>
      <c r="H47" s="135"/>
      <c r="I47" s="135"/>
      <c r="J47" s="135"/>
      <c r="K47" s="135"/>
      <c r="L47" s="135"/>
      <c r="M47" s="135"/>
      <c r="N47" s="135"/>
      <c r="O47" s="135"/>
      <c r="P47" s="135"/>
      <c r="Q47" s="135"/>
      <c r="R47" s="135"/>
      <c r="S47" s="135"/>
      <c r="T47" s="135"/>
      <c r="U47" s="135"/>
      <c r="V47" s="135"/>
      <c r="W47" s="135"/>
      <c r="X47" s="135"/>
      <c r="Y47" s="135"/>
      <c r="Z47" s="135"/>
    </row>
    <row r="48" spans="1:26" ht="15" customHeight="1">
      <c r="A48" s="135"/>
      <c r="B48" s="135"/>
      <c r="C48" s="135"/>
      <c r="D48" s="135"/>
      <c r="E48" s="135"/>
      <c r="F48" s="135"/>
      <c r="G48" s="135"/>
      <c r="H48" s="135"/>
      <c r="I48" s="135"/>
      <c r="J48" s="135"/>
      <c r="K48" s="135"/>
      <c r="L48" s="135"/>
      <c r="M48" s="135"/>
      <c r="N48" s="135"/>
      <c r="O48" s="135"/>
      <c r="P48" s="135"/>
      <c r="Q48" s="135"/>
      <c r="R48" s="135"/>
      <c r="S48" s="135"/>
      <c r="T48" s="135"/>
      <c r="U48" s="135"/>
      <c r="V48" s="135"/>
      <c r="W48" s="135"/>
      <c r="X48" s="135"/>
      <c r="Y48" s="135"/>
      <c r="Z48" s="135"/>
    </row>
    <row r="49" spans="1:26" ht="15" customHeight="1">
      <c r="A49" s="135"/>
      <c r="B49" s="135"/>
      <c r="C49" s="135"/>
      <c r="D49" s="135"/>
      <c r="E49" s="135"/>
      <c r="F49" s="135"/>
      <c r="G49" s="135"/>
      <c r="H49" s="135"/>
      <c r="I49" s="135"/>
      <c r="J49" s="135"/>
      <c r="K49" s="135"/>
      <c r="L49" s="135"/>
      <c r="M49" s="135"/>
      <c r="N49" s="135"/>
      <c r="O49" s="135"/>
      <c r="P49" s="135"/>
      <c r="Q49" s="135"/>
      <c r="R49" s="135"/>
      <c r="S49" s="135"/>
      <c r="T49" s="135"/>
      <c r="U49" s="135"/>
      <c r="V49" s="135"/>
      <c r="W49" s="135"/>
      <c r="X49" s="135"/>
      <c r="Y49" s="135"/>
      <c r="Z49" s="135"/>
    </row>
    <row r="50" spans="1:26" ht="15" customHeight="1">
      <c r="A50" s="135"/>
      <c r="B50" s="135"/>
      <c r="C50" s="135"/>
      <c r="D50" s="135"/>
      <c r="E50" s="135"/>
      <c r="F50" s="135"/>
      <c r="G50" s="135"/>
      <c r="H50" s="135"/>
      <c r="I50" s="135"/>
      <c r="J50" s="135"/>
      <c r="K50" s="135"/>
      <c r="L50" s="135"/>
      <c r="M50" s="135"/>
      <c r="N50" s="135"/>
      <c r="O50" s="135"/>
      <c r="P50" s="135"/>
      <c r="Q50" s="135"/>
      <c r="R50" s="135"/>
      <c r="S50" s="135"/>
      <c r="T50" s="135"/>
      <c r="U50" s="135"/>
      <c r="V50" s="135"/>
      <c r="W50" s="135"/>
      <c r="X50" s="135"/>
      <c r="Y50" s="135"/>
      <c r="Z50" s="135"/>
    </row>
    <row r="51" spans="1:26" ht="15" customHeight="1">
      <c r="A51" s="135"/>
      <c r="B51" s="135"/>
      <c r="C51" s="135"/>
      <c r="D51" s="135"/>
      <c r="E51" s="135"/>
      <c r="F51" s="135"/>
      <c r="G51" s="135"/>
      <c r="H51" s="135"/>
      <c r="I51" s="135"/>
      <c r="J51" s="135"/>
      <c r="K51" s="135"/>
      <c r="L51" s="135"/>
      <c r="M51" s="135"/>
      <c r="N51" s="135"/>
      <c r="O51" s="135"/>
      <c r="P51" s="135"/>
      <c r="Q51" s="135"/>
      <c r="R51" s="135"/>
      <c r="S51" s="135"/>
      <c r="T51" s="135"/>
      <c r="U51" s="135"/>
      <c r="V51" s="135"/>
      <c r="W51" s="135"/>
      <c r="X51" s="135"/>
      <c r="Y51" s="135"/>
      <c r="Z51" s="135"/>
    </row>
    <row r="52" spans="1:26" ht="15" customHeight="1">
      <c r="A52" s="135"/>
      <c r="B52" s="135"/>
      <c r="C52" s="135"/>
      <c r="D52" s="135"/>
      <c r="E52" s="135"/>
      <c r="F52" s="135"/>
      <c r="G52" s="135"/>
      <c r="H52" s="135"/>
      <c r="I52" s="135"/>
      <c r="J52" s="135"/>
      <c r="K52" s="135"/>
      <c r="L52" s="135"/>
      <c r="M52" s="135"/>
      <c r="N52" s="135"/>
      <c r="O52" s="135"/>
      <c r="P52" s="135"/>
      <c r="Q52" s="135"/>
      <c r="R52" s="135"/>
      <c r="S52" s="135"/>
      <c r="T52" s="135"/>
      <c r="U52" s="135"/>
      <c r="V52" s="135"/>
      <c r="W52" s="135"/>
      <c r="X52" s="135"/>
      <c r="Y52" s="135"/>
      <c r="Z52" s="135"/>
    </row>
    <row r="53" spans="1:26" ht="15" customHeight="1">
      <c r="A53" s="135"/>
      <c r="B53" s="135"/>
      <c r="C53" s="135"/>
      <c r="D53" s="135"/>
      <c r="E53" s="135"/>
      <c r="F53" s="135"/>
      <c r="G53" s="135"/>
      <c r="H53" s="135"/>
      <c r="I53" s="135"/>
      <c r="J53" s="135"/>
      <c r="K53" s="135"/>
      <c r="L53" s="135"/>
      <c r="M53" s="135"/>
      <c r="N53" s="135"/>
      <c r="O53" s="135"/>
      <c r="P53" s="135"/>
      <c r="Q53" s="135"/>
      <c r="R53" s="135"/>
      <c r="S53" s="135"/>
      <c r="T53" s="135"/>
      <c r="U53" s="135"/>
      <c r="V53" s="135"/>
      <c r="W53" s="135"/>
      <c r="X53" s="135"/>
      <c r="Y53" s="135"/>
      <c r="Z53" s="135"/>
    </row>
    <row r="54" spans="1:26" ht="15" customHeight="1">
      <c r="A54" s="135"/>
      <c r="B54" s="135"/>
      <c r="C54" s="135"/>
      <c r="D54" s="135"/>
      <c r="E54" s="135"/>
      <c r="F54" s="135"/>
      <c r="G54" s="135"/>
      <c r="H54" s="135"/>
      <c r="I54" s="135"/>
      <c r="J54" s="135"/>
      <c r="K54" s="135"/>
      <c r="L54" s="135"/>
      <c r="M54" s="135"/>
      <c r="N54" s="135"/>
      <c r="O54" s="135"/>
      <c r="P54" s="135"/>
      <c r="Q54" s="135"/>
      <c r="R54" s="135"/>
      <c r="S54" s="135"/>
      <c r="T54" s="135"/>
      <c r="U54" s="135"/>
      <c r="V54" s="135"/>
      <c r="W54" s="135"/>
      <c r="X54" s="135"/>
      <c r="Y54" s="135"/>
      <c r="Z54" s="135"/>
    </row>
    <row r="55" spans="1:26" ht="15" customHeight="1">
      <c r="A55" s="135"/>
      <c r="B55" s="135"/>
      <c r="C55" s="135"/>
      <c r="D55" s="135"/>
      <c r="E55" s="135"/>
      <c r="F55" s="135"/>
      <c r="G55" s="135"/>
      <c r="H55" s="135"/>
      <c r="I55" s="135"/>
      <c r="J55" s="135"/>
      <c r="K55" s="135"/>
      <c r="L55" s="135"/>
      <c r="M55" s="135"/>
      <c r="N55" s="135"/>
      <c r="O55" s="135"/>
      <c r="P55" s="135"/>
      <c r="Q55" s="135"/>
      <c r="R55" s="135"/>
      <c r="S55" s="135"/>
      <c r="T55" s="135"/>
      <c r="U55" s="135"/>
      <c r="V55" s="135"/>
      <c r="W55" s="135"/>
      <c r="X55" s="135"/>
      <c r="Y55" s="135"/>
      <c r="Z55" s="135"/>
    </row>
    <row r="56" spans="1:26" ht="15" customHeight="1">
      <c r="A56" s="135"/>
      <c r="B56" s="135"/>
      <c r="C56" s="135"/>
      <c r="D56" s="135"/>
      <c r="E56" s="135"/>
      <c r="F56" s="135"/>
      <c r="G56" s="135"/>
      <c r="H56" s="135"/>
      <c r="I56" s="135"/>
      <c r="J56" s="135"/>
      <c r="K56" s="135"/>
      <c r="L56" s="135"/>
      <c r="M56" s="135"/>
      <c r="N56" s="135"/>
      <c r="O56" s="135"/>
      <c r="P56" s="135"/>
      <c r="Q56" s="135"/>
      <c r="R56" s="135"/>
      <c r="S56" s="135"/>
      <c r="T56" s="135"/>
      <c r="U56" s="135"/>
      <c r="V56" s="135"/>
      <c r="W56" s="135"/>
      <c r="X56" s="135"/>
      <c r="Y56" s="135"/>
      <c r="Z56" s="135"/>
    </row>
    <row r="57" spans="1:26" ht="15" customHeight="1">
      <c r="A57" s="135"/>
      <c r="B57" s="135"/>
      <c r="C57" s="135"/>
      <c r="D57" s="135"/>
      <c r="E57" s="135"/>
      <c r="F57" s="135"/>
      <c r="G57" s="135"/>
      <c r="H57" s="135"/>
      <c r="I57" s="135"/>
      <c r="J57" s="135"/>
      <c r="K57" s="135"/>
      <c r="L57" s="135"/>
      <c r="M57" s="135"/>
      <c r="N57" s="135"/>
      <c r="O57" s="135"/>
      <c r="P57" s="135"/>
      <c r="Q57" s="135"/>
      <c r="R57" s="135"/>
      <c r="S57" s="135"/>
      <c r="T57" s="135"/>
      <c r="U57" s="135"/>
      <c r="V57" s="135"/>
      <c r="W57" s="135"/>
      <c r="X57" s="135"/>
      <c r="Y57" s="135"/>
      <c r="Z57" s="135"/>
    </row>
    <row r="58" spans="1:26" ht="15" customHeight="1">
      <c r="A58" s="135"/>
      <c r="B58" s="135"/>
      <c r="C58" s="135"/>
      <c r="D58" s="135"/>
      <c r="E58" s="135"/>
      <c r="F58" s="135"/>
      <c r="G58" s="135"/>
      <c r="H58" s="135"/>
      <c r="I58" s="135"/>
      <c r="J58" s="135"/>
      <c r="K58" s="135"/>
      <c r="L58" s="135"/>
      <c r="M58" s="135"/>
      <c r="N58" s="135"/>
      <c r="O58" s="135"/>
      <c r="P58" s="135"/>
      <c r="Q58" s="135"/>
      <c r="R58" s="135"/>
      <c r="S58" s="135"/>
      <c r="T58" s="135"/>
      <c r="U58" s="135"/>
      <c r="V58" s="135"/>
      <c r="W58" s="135"/>
      <c r="X58" s="135"/>
      <c r="Y58" s="135"/>
      <c r="Z58" s="135"/>
    </row>
    <row r="59" spans="1:26" ht="15" customHeight="1">
      <c r="A59" s="135"/>
      <c r="B59" s="135"/>
      <c r="C59" s="135"/>
      <c r="D59" s="135"/>
      <c r="E59" s="135"/>
      <c r="F59" s="135"/>
      <c r="G59" s="135"/>
      <c r="H59" s="135"/>
      <c r="I59" s="135"/>
      <c r="J59" s="135"/>
      <c r="K59" s="135"/>
      <c r="L59" s="135"/>
      <c r="M59" s="135"/>
      <c r="N59" s="135"/>
      <c r="O59" s="135"/>
      <c r="P59" s="135"/>
      <c r="Q59" s="135"/>
      <c r="R59" s="135"/>
      <c r="S59" s="135"/>
      <c r="T59" s="135"/>
      <c r="U59" s="135"/>
      <c r="V59" s="135"/>
      <c r="W59" s="135"/>
      <c r="X59" s="135"/>
      <c r="Y59" s="135"/>
      <c r="Z59" s="135"/>
    </row>
    <row r="60" spans="1:26" ht="15" customHeight="1">
      <c r="A60" s="135"/>
      <c r="B60" s="135"/>
      <c r="C60" s="135"/>
      <c r="D60" s="135"/>
      <c r="E60" s="135"/>
      <c r="F60" s="135"/>
      <c r="G60" s="135"/>
      <c r="H60" s="135"/>
      <c r="I60" s="135"/>
      <c r="J60" s="135"/>
      <c r="K60" s="135"/>
      <c r="L60" s="135"/>
      <c r="M60" s="135"/>
      <c r="N60" s="135"/>
      <c r="O60" s="135"/>
      <c r="P60" s="135"/>
      <c r="Q60" s="135"/>
      <c r="R60" s="135"/>
      <c r="S60" s="135"/>
      <c r="T60" s="135"/>
      <c r="U60" s="135"/>
      <c r="V60" s="135"/>
      <c r="W60" s="135"/>
      <c r="X60" s="135"/>
      <c r="Y60" s="135"/>
      <c r="Z60" s="135"/>
    </row>
    <row r="61" spans="1:26" ht="15" customHeight="1">
      <c r="A61" s="135"/>
      <c r="B61" s="135"/>
      <c r="C61" s="135"/>
      <c r="D61" s="135"/>
      <c r="E61" s="135"/>
      <c r="F61" s="135"/>
      <c r="G61" s="135"/>
      <c r="H61" s="135"/>
      <c r="I61" s="135"/>
      <c r="J61" s="135"/>
      <c r="K61" s="135"/>
      <c r="L61" s="135"/>
      <c r="M61" s="135"/>
      <c r="N61" s="135"/>
      <c r="O61" s="135"/>
      <c r="P61" s="135"/>
      <c r="Q61" s="135"/>
      <c r="R61" s="135"/>
      <c r="S61" s="135"/>
      <c r="T61" s="135"/>
      <c r="U61" s="135"/>
      <c r="V61" s="135"/>
      <c r="W61" s="135"/>
      <c r="X61" s="135"/>
      <c r="Y61" s="135"/>
      <c r="Z61" s="135"/>
    </row>
    <row r="62" spans="1:26" ht="15" customHeight="1">
      <c r="A62" s="135"/>
      <c r="B62" s="135"/>
      <c r="C62" s="135"/>
      <c r="D62" s="135"/>
      <c r="E62" s="135"/>
      <c r="F62" s="135"/>
      <c r="G62" s="135"/>
      <c r="H62" s="135"/>
      <c r="I62" s="135"/>
      <c r="J62" s="135"/>
      <c r="K62" s="135"/>
      <c r="L62" s="135"/>
      <c r="M62" s="135"/>
      <c r="N62" s="135"/>
      <c r="O62" s="135"/>
      <c r="P62" s="135"/>
      <c r="Q62" s="135"/>
      <c r="R62" s="135"/>
      <c r="S62" s="135"/>
      <c r="T62" s="135"/>
      <c r="U62" s="135"/>
      <c r="V62" s="135"/>
      <c r="W62" s="135"/>
      <c r="X62" s="135"/>
      <c r="Y62" s="135"/>
      <c r="Z62" s="135"/>
    </row>
    <row r="63" spans="1:26" ht="15" customHeight="1">
      <c r="A63" s="135"/>
      <c r="B63" s="135"/>
      <c r="C63" s="135"/>
      <c r="D63" s="135"/>
      <c r="E63" s="135"/>
      <c r="F63" s="135"/>
      <c r="G63" s="135"/>
      <c r="H63" s="135"/>
      <c r="I63" s="135"/>
      <c r="J63" s="135"/>
      <c r="K63" s="135"/>
      <c r="L63" s="135"/>
      <c r="M63" s="135"/>
      <c r="N63" s="135"/>
      <c r="O63" s="135"/>
      <c r="P63" s="135"/>
      <c r="Q63" s="135"/>
      <c r="R63" s="135"/>
      <c r="S63" s="135"/>
      <c r="T63" s="135"/>
      <c r="U63" s="135"/>
      <c r="V63" s="135"/>
      <c r="W63" s="135"/>
      <c r="X63" s="135"/>
      <c r="Y63" s="135"/>
      <c r="Z63" s="135"/>
    </row>
    <row r="64" spans="1:26" ht="15" customHeight="1">
      <c r="A64" s="135"/>
      <c r="B64" s="135"/>
      <c r="C64" s="135"/>
      <c r="D64" s="135"/>
      <c r="E64" s="135"/>
      <c r="F64" s="135"/>
      <c r="G64" s="135"/>
      <c r="H64" s="135"/>
      <c r="I64" s="135"/>
      <c r="J64" s="135"/>
      <c r="K64" s="135"/>
      <c r="L64" s="135"/>
      <c r="M64" s="135"/>
      <c r="N64" s="135"/>
      <c r="O64" s="135"/>
      <c r="P64" s="135"/>
      <c r="Q64" s="135"/>
      <c r="R64" s="135"/>
      <c r="S64" s="135"/>
      <c r="T64" s="135"/>
      <c r="U64" s="135"/>
      <c r="V64" s="135"/>
      <c r="W64" s="135"/>
      <c r="X64" s="135"/>
      <c r="Y64" s="135"/>
      <c r="Z64" s="135"/>
    </row>
    <row r="65" spans="1:26" ht="15" customHeight="1">
      <c r="A65" s="135"/>
      <c r="B65" s="135"/>
      <c r="C65" s="135"/>
      <c r="D65" s="135"/>
      <c r="E65" s="135"/>
      <c r="F65" s="135"/>
      <c r="G65" s="135"/>
      <c r="H65" s="135"/>
      <c r="I65" s="135"/>
      <c r="J65" s="135"/>
      <c r="K65" s="135"/>
      <c r="L65" s="135"/>
      <c r="M65" s="135"/>
      <c r="N65" s="135"/>
      <c r="O65" s="135"/>
      <c r="P65" s="135"/>
      <c r="Q65" s="135"/>
      <c r="R65" s="135"/>
      <c r="S65" s="135"/>
      <c r="T65" s="135"/>
      <c r="U65" s="135"/>
      <c r="V65" s="135"/>
      <c r="W65" s="135"/>
      <c r="X65" s="135"/>
      <c r="Y65" s="135"/>
      <c r="Z65" s="135"/>
    </row>
    <row r="66" spans="1:26" ht="15" customHeight="1">
      <c r="A66" s="135"/>
      <c r="B66" s="135"/>
      <c r="C66" s="135"/>
      <c r="D66" s="135"/>
      <c r="E66" s="135"/>
      <c r="F66" s="135"/>
      <c r="G66" s="135"/>
      <c r="H66" s="135"/>
      <c r="I66" s="135"/>
      <c r="J66" s="135"/>
      <c r="K66" s="135"/>
      <c r="L66" s="135"/>
      <c r="M66" s="135"/>
      <c r="N66" s="135"/>
      <c r="O66" s="135"/>
      <c r="P66" s="135"/>
      <c r="Q66" s="135"/>
      <c r="R66" s="135"/>
      <c r="S66" s="135"/>
      <c r="T66" s="135"/>
      <c r="U66" s="135"/>
      <c r="V66" s="135"/>
      <c r="W66" s="135"/>
      <c r="X66" s="135"/>
      <c r="Y66" s="135"/>
      <c r="Z66" s="135"/>
    </row>
    <row r="67" spans="1:26" ht="15" customHeight="1">
      <c r="A67" s="135"/>
      <c r="B67" s="135"/>
      <c r="C67" s="135"/>
      <c r="D67" s="135"/>
      <c r="E67" s="135"/>
      <c r="F67" s="135"/>
      <c r="G67" s="135"/>
      <c r="H67" s="135"/>
      <c r="I67" s="135"/>
      <c r="J67" s="135"/>
      <c r="K67" s="135"/>
      <c r="L67" s="135"/>
      <c r="M67" s="135"/>
      <c r="N67" s="135"/>
      <c r="O67" s="135"/>
      <c r="P67" s="135"/>
      <c r="Q67" s="135"/>
      <c r="R67" s="135"/>
      <c r="S67" s="135"/>
      <c r="T67" s="135"/>
      <c r="U67" s="135"/>
      <c r="V67" s="135"/>
      <c r="W67" s="135"/>
      <c r="X67" s="135"/>
      <c r="Y67" s="135"/>
      <c r="Z67" s="135"/>
    </row>
    <row r="68" spans="1:26" ht="15" customHeight="1">
      <c r="A68" s="135"/>
      <c r="B68" s="135"/>
      <c r="C68" s="135"/>
      <c r="D68" s="135"/>
      <c r="E68" s="135"/>
      <c r="F68" s="135"/>
      <c r="G68" s="135"/>
      <c r="H68" s="135"/>
      <c r="I68" s="135"/>
      <c r="J68" s="135"/>
      <c r="K68" s="135"/>
      <c r="L68" s="135"/>
      <c r="M68" s="135"/>
      <c r="N68" s="135"/>
      <c r="O68" s="135"/>
      <c r="P68" s="135"/>
      <c r="Q68" s="135"/>
      <c r="R68" s="135"/>
      <c r="S68" s="135"/>
      <c r="T68" s="135"/>
      <c r="U68" s="135"/>
      <c r="V68" s="135"/>
      <c r="W68" s="135"/>
      <c r="X68" s="135"/>
      <c r="Y68" s="135"/>
      <c r="Z68" s="135"/>
    </row>
    <row r="69" spans="1:26" ht="15" customHeight="1">
      <c r="A69" s="135"/>
      <c r="B69" s="135"/>
      <c r="C69" s="135"/>
      <c r="D69" s="135"/>
      <c r="E69" s="135"/>
      <c r="F69" s="135"/>
      <c r="G69" s="135"/>
      <c r="H69" s="135"/>
      <c r="I69" s="135"/>
      <c r="J69" s="135"/>
      <c r="K69" s="135"/>
      <c r="L69" s="135"/>
      <c r="M69" s="135"/>
      <c r="N69" s="135"/>
      <c r="O69" s="135"/>
      <c r="P69" s="135"/>
      <c r="Q69" s="135"/>
      <c r="R69" s="135"/>
      <c r="S69" s="135"/>
      <c r="T69" s="135"/>
      <c r="U69" s="135"/>
      <c r="V69" s="135"/>
      <c r="W69" s="135"/>
      <c r="X69" s="135"/>
      <c r="Y69" s="135"/>
      <c r="Z69" s="135"/>
    </row>
    <row r="70" spans="1:26" ht="15" customHeight="1">
      <c r="A70" s="135"/>
      <c r="B70" s="135"/>
      <c r="C70" s="135"/>
      <c r="D70" s="135"/>
      <c r="E70" s="135"/>
      <c r="F70" s="135"/>
      <c r="G70" s="135"/>
      <c r="H70" s="135"/>
      <c r="I70" s="135"/>
      <c r="J70" s="135"/>
      <c r="K70" s="135"/>
      <c r="L70" s="135"/>
      <c r="M70" s="135"/>
      <c r="N70" s="135"/>
      <c r="O70" s="135"/>
      <c r="P70" s="135"/>
      <c r="Q70" s="135"/>
      <c r="R70" s="135"/>
      <c r="S70" s="135"/>
      <c r="T70" s="135"/>
      <c r="U70" s="135"/>
      <c r="V70" s="135"/>
      <c r="W70" s="135"/>
      <c r="X70" s="135"/>
      <c r="Y70" s="135"/>
      <c r="Z70" s="135"/>
    </row>
    <row r="71" spans="1:26" ht="15" customHeight="1">
      <c r="A71" s="135"/>
      <c r="B71" s="135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X71" s="135"/>
      <c r="Y71" s="135"/>
      <c r="Z71" s="135"/>
    </row>
    <row r="72" spans="1:26" ht="15" customHeight="1">
      <c r="A72" s="135"/>
      <c r="B72" s="135"/>
      <c r="C72" s="135"/>
      <c r="D72" s="135"/>
      <c r="E72" s="135"/>
      <c r="F72" s="135"/>
      <c r="G72" s="135"/>
      <c r="H72" s="135"/>
      <c r="I72" s="135"/>
      <c r="J72" s="135"/>
      <c r="K72" s="135"/>
      <c r="L72" s="135"/>
      <c r="M72" s="135"/>
      <c r="N72" s="135"/>
      <c r="O72" s="135"/>
      <c r="P72" s="135"/>
      <c r="Q72" s="135"/>
      <c r="R72" s="135"/>
      <c r="S72" s="135"/>
      <c r="T72" s="135"/>
      <c r="U72" s="135"/>
      <c r="V72" s="135"/>
      <c r="W72" s="135"/>
      <c r="X72" s="135"/>
      <c r="Y72" s="135"/>
      <c r="Z72" s="135"/>
    </row>
    <row r="73" spans="1:26" ht="15" customHeight="1">
      <c r="A73" s="135"/>
      <c r="B73" s="135"/>
      <c r="C73" s="135"/>
      <c r="D73" s="135"/>
      <c r="E73" s="135"/>
      <c r="F73" s="135"/>
      <c r="G73" s="135"/>
      <c r="H73" s="135"/>
      <c r="I73" s="135"/>
      <c r="J73" s="135"/>
      <c r="K73" s="135"/>
      <c r="L73" s="135"/>
      <c r="M73" s="135"/>
      <c r="N73" s="135"/>
      <c r="O73" s="135"/>
      <c r="P73" s="135"/>
      <c r="Q73" s="135"/>
      <c r="R73" s="135"/>
      <c r="S73" s="135"/>
      <c r="T73" s="135"/>
      <c r="U73" s="135"/>
      <c r="V73" s="135"/>
      <c r="W73" s="135"/>
      <c r="X73" s="135"/>
      <c r="Y73" s="135"/>
      <c r="Z73" s="135"/>
    </row>
    <row r="74" spans="1:26" ht="15" customHeight="1">
      <c r="A74" s="135"/>
      <c r="B74" s="135"/>
      <c r="C74" s="135"/>
      <c r="D74" s="135"/>
      <c r="E74" s="135"/>
      <c r="F74" s="135"/>
      <c r="G74" s="135"/>
      <c r="H74" s="135"/>
      <c r="I74" s="135"/>
      <c r="J74" s="135"/>
      <c r="K74" s="135"/>
      <c r="L74" s="135"/>
      <c r="M74" s="135"/>
      <c r="N74" s="135"/>
      <c r="O74" s="135"/>
      <c r="P74" s="135"/>
      <c r="Q74" s="135"/>
      <c r="R74" s="135"/>
      <c r="S74" s="135"/>
      <c r="T74" s="135"/>
      <c r="U74" s="135"/>
      <c r="V74" s="135"/>
      <c r="W74" s="135"/>
      <c r="X74" s="135"/>
      <c r="Y74" s="135"/>
      <c r="Z74" s="135"/>
    </row>
    <row r="75" spans="1:26" ht="15" customHeight="1">
      <c r="A75" s="135"/>
      <c r="B75" s="135"/>
      <c r="C75" s="135"/>
      <c r="D75" s="135"/>
      <c r="E75" s="135"/>
      <c r="F75" s="135"/>
      <c r="G75" s="135"/>
      <c r="H75" s="135"/>
      <c r="I75" s="135"/>
      <c r="J75" s="135"/>
      <c r="K75" s="135"/>
      <c r="L75" s="135"/>
      <c r="M75" s="135"/>
      <c r="N75" s="135"/>
      <c r="O75" s="135"/>
      <c r="P75" s="135"/>
      <c r="Q75" s="135"/>
      <c r="R75" s="135"/>
      <c r="S75" s="135"/>
      <c r="T75" s="135"/>
      <c r="U75" s="135"/>
      <c r="V75" s="135"/>
      <c r="W75" s="135"/>
      <c r="X75" s="135"/>
      <c r="Y75" s="135"/>
      <c r="Z75" s="135"/>
    </row>
    <row r="76" spans="1:26" ht="15" customHeight="1">
      <c r="A76" s="135"/>
      <c r="B76" s="135"/>
      <c r="C76" s="135"/>
      <c r="D76" s="135"/>
      <c r="E76" s="135"/>
      <c r="F76" s="135"/>
      <c r="G76" s="135"/>
      <c r="H76" s="135"/>
      <c r="I76" s="135"/>
      <c r="J76" s="135"/>
      <c r="K76" s="135"/>
      <c r="L76" s="135"/>
      <c r="M76" s="135"/>
      <c r="N76" s="135"/>
      <c r="O76" s="135"/>
      <c r="P76" s="135"/>
      <c r="Q76" s="135"/>
      <c r="R76" s="135"/>
      <c r="S76" s="135"/>
      <c r="T76" s="135"/>
      <c r="U76" s="135"/>
      <c r="V76" s="135"/>
      <c r="W76" s="135"/>
      <c r="X76" s="135"/>
      <c r="Y76" s="135"/>
      <c r="Z76" s="135"/>
    </row>
    <row r="77" spans="1:26" ht="15" customHeight="1">
      <c r="A77" s="135"/>
      <c r="B77" s="135"/>
      <c r="C77" s="135"/>
      <c r="D77" s="135"/>
      <c r="E77" s="135"/>
      <c r="F77" s="135"/>
      <c r="G77" s="135"/>
      <c r="H77" s="135"/>
      <c r="I77" s="135"/>
      <c r="J77" s="135"/>
      <c r="K77" s="135"/>
      <c r="L77" s="135"/>
      <c r="M77" s="135"/>
      <c r="N77" s="135"/>
      <c r="O77" s="135"/>
      <c r="P77" s="135"/>
      <c r="Q77" s="135"/>
      <c r="R77" s="135"/>
      <c r="S77" s="135"/>
      <c r="T77" s="135"/>
      <c r="U77" s="135"/>
      <c r="V77" s="135"/>
      <c r="W77" s="135"/>
      <c r="X77" s="135"/>
      <c r="Y77" s="135"/>
      <c r="Z77" s="135"/>
    </row>
    <row r="78" spans="1:26" ht="15" customHeight="1">
      <c r="A78" s="135"/>
      <c r="B78" s="135"/>
      <c r="C78" s="135"/>
      <c r="D78" s="135"/>
      <c r="E78" s="135"/>
      <c r="F78" s="135"/>
      <c r="G78" s="135"/>
      <c r="H78" s="135"/>
      <c r="I78" s="135"/>
      <c r="J78" s="135"/>
      <c r="K78" s="135"/>
      <c r="L78" s="135"/>
      <c r="M78" s="135"/>
      <c r="N78" s="135"/>
      <c r="O78" s="135"/>
      <c r="P78" s="135"/>
      <c r="Q78" s="135"/>
      <c r="R78" s="135"/>
      <c r="S78" s="135"/>
      <c r="T78" s="135"/>
      <c r="U78" s="135"/>
      <c r="V78" s="135"/>
      <c r="W78" s="135"/>
      <c r="X78" s="135"/>
      <c r="Y78" s="135"/>
      <c r="Z78" s="135"/>
    </row>
    <row r="79" spans="1:26" ht="15" customHeight="1">
      <c r="A79" s="135"/>
      <c r="B79" s="135"/>
      <c r="C79" s="135"/>
      <c r="D79" s="135"/>
      <c r="E79" s="135"/>
      <c r="F79" s="135"/>
      <c r="G79" s="135"/>
      <c r="H79" s="135"/>
      <c r="I79" s="135"/>
      <c r="J79" s="135"/>
      <c r="K79" s="135"/>
      <c r="L79" s="135"/>
      <c r="M79" s="135"/>
      <c r="N79" s="135"/>
      <c r="O79" s="135"/>
      <c r="P79" s="135"/>
      <c r="Q79" s="135"/>
      <c r="R79" s="135"/>
      <c r="S79" s="135"/>
      <c r="T79" s="135"/>
      <c r="U79" s="135"/>
      <c r="V79" s="135"/>
      <c r="W79" s="135"/>
      <c r="X79" s="135"/>
      <c r="Y79" s="135"/>
      <c r="Z79" s="135"/>
    </row>
    <row r="80" spans="1:26" ht="15" customHeight="1">
      <c r="A80" s="135"/>
      <c r="B80" s="135"/>
      <c r="C80" s="135"/>
      <c r="D80" s="135"/>
      <c r="E80" s="135"/>
      <c r="F80" s="135"/>
      <c r="G80" s="135"/>
      <c r="H80" s="135"/>
      <c r="I80" s="135"/>
      <c r="J80" s="135"/>
      <c r="K80" s="135"/>
      <c r="L80" s="135"/>
      <c r="M80" s="135"/>
      <c r="N80" s="135"/>
      <c r="O80" s="135"/>
      <c r="P80" s="135"/>
      <c r="Q80" s="135"/>
      <c r="R80" s="135"/>
      <c r="S80" s="135"/>
      <c r="T80" s="135"/>
      <c r="U80" s="135"/>
      <c r="V80" s="135"/>
      <c r="W80" s="135"/>
      <c r="X80" s="135"/>
      <c r="Y80" s="135"/>
      <c r="Z80" s="135"/>
    </row>
    <row r="81" spans="1:26" ht="15" customHeight="1">
      <c r="A81" s="135"/>
      <c r="B81" s="135"/>
      <c r="C81" s="135"/>
      <c r="D81" s="135"/>
      <c r="E81" s="135"/>
      <c r="F81" s="135"/>
      <c r="G81" s="135"/>
      <c r="H81" s="135"/>
      <c r="I81" s="135"/>
      <c r="J81" s="135"/>
      <c r="K81" s="135"/>
      <c r="L81" s="135"/>
      <c r="M81" s="135"/>
      <c r="N81" s="135"/>
      <c r="O81" s="135"/>
      <c r="P81" s="135"/>
      <c r="Q81" s="135"/>
      <c r="R81" s="135"/>
      <c r="S81" s="135"/>
      <c r="T81" s="135"/>
      <c r="U81" s="135"/>
      <c r="V81" s="135"/>
      <c r="W81" s="135"/>
      <c r="X81" s="135"/>
      <c r="Y81" s="135"/>
      <c r="Z81" s="135"/>
    </row>
    <row r="82" spans="1:26" ht="15" customHeight="1">
      <c r="A82" s="135"/>
      <c r="B82" s="135"/>
      <c r="C82" s="135"/>
      <c r="D82" s="135"/>
      <c r="E82" s="135"/>
      <c r="F82" s="135"/>
      <c r="G82" s="135"/>
      <c r="H82" s="135"/>
      <c r="I82" s="135"/>
      <c r="J82" s="135"/>
      <c r="K82" s="135"/>
      <c r="L82" s="135"/>
      <c r="M82" s="135"/>
      <c r="N82" s="135"/>
      <c r="O82" s="135"/>
      <c r="P82" s="135"/>
      <c r="Q82" s="135"/>
      <c r="R82" s="135"/>
      <c r="S82" s="135"/>
      <c r="T82" s="135"/>
      <c r="U82" s="135"/>
      <c r="V82" s="135"/>
      <c r="W82" s="135"/>
      <c r="X82" s="135"/>
      <c r="Y82" s="135"/>
      <c r="Z82" s="135"/>
    </row>
    <row r="83" spans="1:26" ht="15" customHeight="1">
      <c r="A83" s="135"/>
      <c r="B83" s="135"/>
      <c r="C83" s="135"/>
      <c r="D83" s="135"/>
      <c r="E83" s="135"/>
      <c r="F83" s="135"/>
      <c r="G83" s="135"/>
      <c r="H83" s="135"/>
      <c r="I83" s="135"/>
      <c r="J83" s="135"/>
      <c r="K83" s="135"/>
      <c r="L83" s="135"/>
      <c r="M83" s="135"/>
      <c r="N83" s="135"/>
      <c r="O83" s="135"/>
      <c r="P83" s="135"/>
      <c r="Q83" s="135"/>
      <c r="R83" s="135"/>
      <c r="S83" s="135"/>
      <c r="T83" s="135"/>
      <c r="U83" s="135"/>
      <c r="V83" s="135"/>
      <c r="W83" s="135"/>
      <c r="X83" s="135"/>
      <c r="Y83" s="135"/>
      <c r="Z83" s="135"/>
    </row>
    <row r="84" spans="1:26" ht="15" customHeight="1">
      <c r="A84" s="135"/>
      <c r="B84" s="135"/>
      <c r="C84" s="135"/>
      <c r="D84" s="135"/>
      <c r="E84" s="135"/>
      <c r="F84" s="135"/>
      <c r="G84" s="135"/>
      <c r="H84" s="135"/>
      <c r="I84" s="135"/>
      <c r="J84" s="135"/>
      <c r="K84" s="135"/>
      <c r="L84" s="135"/>
      <c r="M84" s="135"/>
      <c r="N84" s="135"/>
      <c r="O84" s="135"/>
      <c r="P84" s="135"/>
      <c r="Q84" s="135"/>
      <c r="R84" s="135"/>
      <c r="S84" s="135"/>
      <c r="T84" s="135"/>
      <c r="U84" s="135"/>
      <c r="V84" s="135"/>
      <c r="W84" s="135"/>
      <c r="X84" s="135"/>
      <c r="Y84" s="135"/>
      <c r="Z84" s="135"/>
    </row>
    <row r="85" spans="1:26" ht="15" customHeight="1">
      <c r="A85" s="135"/>
      <c r="B85" s="135"/>
      <c r="C85" s="135"/>
      <c r="D85" s="135"/>
      <c r="E85" s="135"/>
      <c r="F85" s="135"/>
      <c r="G85" s="135"/>
      <c r="H85" s="135"/>
      <c r="I85" s="135"/>
      <c r="J85" s="135"/>
      <c r="K85" s="135"/>
      <c r="L85" s="135"/>
      <c r="M85" s="135"/>
      <c r="N85" s="135"/>
      <c r="O85" s="135"/>
      <c r="P85" s="135"/>
      <c r="Q85" s="135"/>
      <c r="R85" s="135"/>
      <c r="S85" s="135"/>
      <c r="T85" s="135"/>
      <c r="U85" s="135"/>
      <c r="V85" s="135"/>
      <c r="W85" s="135"/>
      <c r="X85" s="135"/>
      <c r="Y85" s="135"/>
      <c r="Z85" s="135"/>
    </row>
    <row r="86" spans="1:26" ht="15" customHeight="1">
      <c r="A86" s="135"/>
      <c r="B86" s="135"/>
      <c r="C86" s="135"/>
      <c r="D86" s="135"/>
      <c r="E86" s="135"/>
      <c r="F86" s="135"/>
      <c r="G86" s="135"/>
      <c r="H86" s="135"/>
      <c r="I86" s="135"/>
      <c r="J86" s="135"/>
      <c r="K86" s="135"/>
      <c r="L86" s="135"/>
      <c r="M86" s="135"/>
      <c r="N86" s="135"/>
      <c r="O86" s="135"/>
      <c r="P86" s="135"/>
      <c r="Q86" s="135"/>
      <c r="R86" s="135"/>
      <c r="S86" s="135"/>
      <c r="T86" s="135"/>
      <c r="U86" s="135"/>
      <c r="V86" s="135"/>
      <c r="W86" s="135"/>
      <c r="X86" s="135"/>
      <c r="Y86" s="135"/>
      <c r="Z86" s="135"/>
    </row>
    <row r="87" spans="1:26" ht="15" customHeight="1">
      <c r="A87" s="135"/>
      <c r="B87" s="135"/>
      <c r="C87" s="135"/>
      <c r="D87" s="135"/>
      <c r="E87" s="135"/>
      <c r="F87" s="135"/>
      <c r="G87" s="135"/>
      <c r="H87" s="135"/>
      <c r="I87" s="135"/>
      <c r="J87" s="135"/>
      <c r="K87" s="135"/>
      <c r="L87" s="135"/>
      <c r="M87" s="135"/>
      <c r="N87" s="135"/>
      <c r="O87" s="135"/>
      <c r="P87" s="135"/>
      <c r="Q87" s="135"/>
      <c r="R87" s="135"/>
      <c r="S87" s="135"/>
      <c r="T87" s="135"/>
      <c r="U87" s="135"/>
      <c r="V87" s="135"/>
      <c r="W87" s="135"/>
      <c r="X87" s="135"/>
      <c r="Y87" s="135"/>
      <c r="Z87" s="135"/>
    </row>
    <row r="88" spans="1:26" ht="15" customHeight="1">
      <c r="A88" s="135"/>
      <c r="B88" s="135"/>
      <c r="C88" s="135"/>
      <c r="D88" s="135"/>
      <c r="E88" s="135"/>
      <c r="F88" s="135"/>
      <c r="G88" s="135"/>
      <c r="H88" s="135"/>
      <c r="I88" s="135"/>
      <c r="J88" s="135"/>
      <c r="K88" s="135"/>
      <c r="L88" s="135"/>
      <c r="M88" s="135"/>
      <c r="N88" s="135"/>
      <c r="O88" s="135"/>
      <c r="P88" s="135"/>
      <c r="Q88" s="135"/>
      <c r="R88" s="135"/>
      <c r="S88" s="135"/>
      <c r="T88" s="135"/>
      <c r="U88" s="135"/>
      <c r="V88" s="135"/>
      <c r="W88" s="135"/>
      <c r="X88" s="135"/>
      <c r="Y88" s="135"/>
      <c r="Z88" s="135"/>
    </row>
    <row r="89" spans="1:26" ht="15" customHeight="1">
      <c r="A89" s="135"/>
      <c r="B89" s="135"/>
      <c r="C89" s="135"/>
      <c r="D89" s="135"/>
      <c r="E89" s="135"/>
      <c r="F89" s="135"/>
      <c r="G89" s="135"/>
      <c r="H89" s="135"/>
      <c r="I89" s="135"/>
      <c r="J89" s="135"/>
      <c r="K89" s="135"/>
      <c r="L89" s="135"/>
      <c r="M89" s="135"/>
      <c r="N89" s="135"/>
      <c r="O89" s="135"/>
      <c r="P89" s="135"/>
      <c r="Q89" s="135"/>
      <c r="R89" s="135"/>
      <c r="S89" s="135"/>
      <c r="T89" s="135"/>
      <c r="U89" s="135"/>
      <c r="V89" s="135"/>
      <c r="W89" s="135"/>
      <c r="X89" s="135"/>
      <c r="Y89" s="135"/>
      <c r="Z89" s="135"/>
    </row>
    <row r="90" spans="1:26" ht="15" customHeight="1">
      <c r="A90" s="135"/>
      <c r="B90" s="135"/>
      <c r="C90" s="135"/>
      <c r="D90" s="135"/>
      <c r="E90" s="135"/>
      <c r="F90" s="135"/>
      <c r="G90" s="135"/>
      <c r="H90" s="135"/>
      <c r="I90" s="135"/>
      <c r="J90" s="135"/>
      <c r="K90" s="135"/>
      <c r="L90" s="135"/>
      <c r="M90" s="135"/>
      <c r="N90" s="135"/>
      <c r="O90" s="135"/>
      <c r="P90" s="135"/>
      <c r="Q90" s="135"/>
      <c r="R90" s="135"/>
      <c r="S90" s="135"/>
      <c r="T90" s="135"/>
      <c r="U90" s="135"/>
      <c r="V90" s="135"/>
      <c r="W90" s="135"/>
      <c r="X90" s="135"/>
      <c r="Y90" s="135"/>
      <c r="Z90" s="135"/>
    </row>
    <row r="91" spans="1:26" ht="15" customHeight="1">
      <c r="A91" s="135"/>
      <c r="B91" s="135"/>
      <c r="C91" s="135"/>
      <c r="D91" s="135"/>
      <c r="E91" s="135"/>
      <c r="F91" s="135"/>
      <c r="G91" s="135"/>
      <c r="H91" s="135"/>
      <c r="I91" s="135"/>
      <c r="J91" s="135"/>
      <c r="K91" s="135"/>
      <c r="L91" s="135"/>
      <c r="M91" s="135"/>
      <c r="N91" s="135"/>
      <c r="O91" s="135"/>
      <c r="P91" s="135"/>
      <c r="Q91" s="135"/>
      <c r="R91" s="135"/>
      <c r="S91" s="135"/>
      <c r="T91" s="135"/>
      <c r="U91" s="135"/>
      <c r="V91" s="135"/>
      <c r="W91" s="135"/>
      <c r="X91" s="135"/>
      <c r="Y91" s="135"/>
      <c r="Z91" s="135"/>
    </row>
    <row r="92" spans="1:26" ht="15" customHeight="1">
      <c r="A92" s="135"/>
      <c r="B92" s="135"/>
      <c r="C92" s="135"/>
      <c r="D92" s="135"/>
      <c r="E92" s="135"/>
      <c r="F92" s="135"/>
      <c r="G92" s="135"/>
      <c r="H92" s="135"/>
      <c r="I92" s="135"/>
      <c r="J92" s="135"/>
      <c r="K92" s="135"/>
      <c r="L92" s="135"/>
      <c r="M92" s="135"/>
      <c r="N92" s="135"/>
      <c r="O92" s="135"/>
      <c r="P92" s="135"/>
      <c r="Q92" s="135"/>
      <c r="R92" s="135"/>
      <c r="S92" s="135"/>
      <c r="T92" s="135"/>
      <c r="U92" s="135"/>
      <c r="V92" s="135"/>
      <c r="W92" s="135"/>
      <c r="X92" s="135"/>
      <c r="Y92" s="135"/>
      <c r="Z92" s="135"/>
    </row>
    <row r="93" spans="1:26" ht="15" customHeight="1">
      <c r="A93" s="135"/>
      <c r="B93" s="135"/>
      <c r="C93" s="135"/>
      <c r="D93" s="135"/>
      <c r="E93" s="135"/>
      <c r="F93" s="135"/>
      <c r="G93" s="135"/>
      <c r="H93" s="135"/>
      <c r="I93" s="135"/>
      <c r="J93" s="135"/>
      <c r="K93" s="135"/>
      <c r="L93" s="135"/>
      <c r="M93" s="135"/>
      <c r="N93" s="135"/>
      <c r="O93" s="135"/>
      <c r="P93" s="135"/>
      <c r="Q93" s="135"/>
      <c r="R93" s="135"/>
      <c r="S93" s="135"/>
      <c r="T93" s="135"/>
      <c r="U93" s="135"/>
      <c r="V93" s="135"/>
      <c r="W93" s="135"/>
      <c r="X93" s="135"/>
      <c r="Y93" s="135"/>
      <c r="Z93" s="135"/>
    </row>
    <row r="94" spans="1:26" ht="15" customHeight="1">
      <c r="A94" s="135"/>
      <c r="B94" s="135"/>
      <c r="C94" s="135"/>
      <c r="D94" s="135"/>
      <c r="E94" s="135"/>
      <c r="F94" s="135"/>
      <c r="G94" s="135"/>
      <c r="H94" s="135"/>
      <c r="I94" s="135"/>
      <c r="J94" s="135"/>
      <c r="K94" s="135"/>
      <c r="L94" s="135"/>
      <c r="M94" s="135"/>
      <c r="N94" s="135"/>
      <c r="O94" s="135"/>
      <c r="P94" s="135"/>
      <c r="Q94" s="135"/>
      <c r="R94" s="135"/>
      <c r="S94" s="135"/>
      <c r="T94" s="135"/>
      <c r="U94" s="135"/>
      <c r="V94" s="135"/>
      <c r="W94" s="135"/>
      <c r="X94" s="135"/>
      <c r="Y94" s="135"/>
      <c r="Z94" s="135"/>
    </row>
    <row r="95" spans="1:26" ht="15" customHeight="1">
      <c r="A95" s="135"/>
      <c r="B95" s="135"/>
      <c r="C95" s="135"/>
      <c r="D95" s="135"/>
      <c r="E95" s="135"/>
      <c r="F95" s="135"/>
      <c r="G95" s="135"/>
      <c r="H95" s="135"/>
      <c r="I95" s="135"/>
      <c r="J95" s="135"/>
      <c r="K95" s="135"/>
      <c r="L95" s="135"/>
      <c r="M95" s="135"/>
      <c r="N95" s="135"/>
      <c r="O95" s="135"/>
      <c r="P95" s="135"/>
      <c r="Q95" s="135"/>
      <c r="R95" s="135"/>
      <c r="S95" s="135"/>
      <c r="T95" s="135"/>
      <c r="U95" s="135"/>
      <c r="V95" s="135"/>
      <c r="W95" s="135"/>
      <c r="X95" s="135"/>
      <c r="Y95" s="135"/>
      <c r="Z95" s="135"/>
    </row>
    <row r="96" spans="1:26" ht="15" customHeight="1">
      <c r="A96" s="135"/>
      <c r="B96" s="135"/>
      <c r="C96" s="135"/>
      <c r="D96" s="135"/>
      <c r="E96" s="135"/>
      <c r="F96" s="135"/>
      <c r="G96" s="135"/>
      <c r="H96" s="135"/>
      <c r="I96" s="135"/>
      <c r="J96" s="135"/>
      <c r="K96" s="135"/>
      <c r="L96" s="135"/>
      <c r="M96" s="135"/>
      <c r="N96" s="135"/>
      <c r="O96" s="135"/>
      <c r="P96" s="135"/>
      <c r="Q96" s="135"/>
      <c r="R96" s="135"/>
      <c r="S96" s="135"/>
      <c r="T96" s="135"/>
      <c r="U96" s="135"/>
      <c r="V96" s="135"/>
      <c r="W96" s="135"/>
      <c r="X96" s="135"/>
      <c r="Y96" s="135"/>
      <c r="Z96" s="135"/>
    </row>
    <row r="97" spans="1:26" ht="15" customHeight="1">
      <c r="A97" s="135"/>
      <c r="B97" s="135"/>
      <c r="C97" s="135"/>
      <c r="D97" s="135"/>
      <c r="E97" s="135"/>
      <c r="F97" s="135"/>
      <c r="G97" s="135"/>
      <c r="H97" s="135"/>
      <c r="I97" s="135"/>
      <c r="J97" s="135"/>
      <c r="K97" s="135"/>
      <c r="L97" s="135"/>
      <c r="M97" s="135"/>
      <c r="N97" s="135"/>
      <c r="O97" s="135"/>
      <c r="P97" s="135"/>
      <c r="Q97" s="135"/>
      <c r="R97" s="135"/>
      <c r="S97" s="135"/>
      <c r="T97" s="135"/>
      <c r="U97" s="135"/>
      <c r="V97" s="135"/>
      <c r="W97" s="135"/>
      <c r="X97" s="135"/>
      <c r="Y97" s="135"/>
      <c r="Z97" s="135"/>
    </row>
    <row r="98" spans="1:26" ht="15" customHeight="1">
      <c r="A98" s="135"/>
      <c r="B98" s="135"/>
      <c r="C98" s="135"/>
      <c r="D98" s="135"/>
      <c r="E98" s="135"/>
      <c r="F98" s="135"/>
      <c r="G98" s="135"/>
      <c r="H98" s="135"/>
      <c r="I98" s="135"/>
      <c r="J98" s="135"/>
      <c r="K98" s="135"/>
      <c r="L98" s="135"/>
      <c r="M98" s="135"/>
      <c r="N98" s="135"/>
      <c r="O98" s="135"/>
      <c r="P98" s="135"/>
      <c r="Q98" s="135"/>
      <c r="R98" s="135"/>
      <c r="S98" s="135"/>
      <c r="T98" s="135"/>
      <c r="U98" s="135"/>
      <c r="V98" s="135"/>
      <c r="W98" s="135"/>
      <c r="X98" s="135"/>
      <c r="Y98" s="135"/>
      <c r="Z98" s="135"/>
    </row>
    <row r="99" spans="1:26" ht="15" customHeight="1">
      <c r="A99" s="135"/>
      <c r="B99" s="135"/>
      <c r="C99" s="135"/>
      <c r="D99" s="135"/>
      <c r="E99" s="135"/>
      <c r="F99" s="135"/>
      <c r="G99" s="135"/>
      <c r="H99" s="135"/>
      <c r="I99" s="135"/>
      <c r="J99" s="135"/>
      <c r="K99" s="135"/>
      <c r="L99" s="135"/>
      <c r="M99" s="135"/>
      <c r="N99" s="135"/>
      <c r="O99" s="135"/>
      <c r="P99" s="135"/>
      <c r="Q99" s="135"/>
      <c r="R99" s="135"/>
      <c r="S99" s="135"/>
      <c r="T99" s="135"/>
      <c r="U99" s="135"/>
      <c r="V99" s="135"/>
      <c r="W99" s="135"/>
      <c r="X99" s="135"/>
      <c r="Y99" s="135"/>
      <c r="Z99" s="135"/>
    </row>
    <row r="100" spans="1:26" ht="15" customHeight="1">
      <c r="A100" s="135"/>
      <c r="B100" s="135"/>
      <c r="C100" s="135"/>
      <c r="D100" s="135"/>
      <c r="E100" s="135"/>
      <c r="F100" s="135"/>
      <c r="G100" s="135"/>
      <c r="H100" s="135"/>
      <c r="I100" s="135"/>
      <c r="J100" s="135"/>
      <c r="K100" s="135"/>
      <c r="L100" s="135"/>
      <c r="M100" s="135"/>
      <c r="N100" s="135"/>
      <c r="O100" s="135"/>
      <c r="P100" s="135"/>
      <c r="Q100" s="135"/>
      <c r="R100" s="135"/>
      <c r="S100" s="135"/>
      <c r="T100" s="135"/>
      <c r="U100" s="135"/>
      <c r="V100" s="135"/>
      <c r="W100" s="135"/>
      <c r="X100" s="135"/>
      <c r="Y100" s="135"/>
      <c r="Z100" s="135"/>
    </row>
  </sheetData>
  <mergeCells count="2">
    <mergeCell ref="A1:G1"/>
    <mergeCell ref="A2:G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H80"/>
  <sheetViews>
    <sheetView topLeftCell="A18" zoomScaleNormal="100" workbookViewId="0">
      <selection activeCell="D25" sqref="D25"/>
    </sheetView>
  </sheetViews>
  <sheetFormatPr defaultColWidth="8.7109375" defaultRowHeight="15"/>
  <cols>
    <col min="1" max="1" width="10" style="13" customWidth="1"/>
    <col min="2" max="2" width="14" style="13" customWidth="1"/>
    <col min="3" max="3" width="36" style="13" customWidth="1"/>
    <col min="4" max="4" width="28" style="13" customWidth="1"/>
    <col min="5" max="5" width="14" style="13" customWidth="1"/>
    <col min="6" max="6" width="28" style="13" customWidth="1"/>
    <col min="7" max="8" width="14" style="13" customWidth="1"/>
    <col min="9" max="9" width="48" style="13" customWidth="1"/>
  </cols>
  <sheetData>
    <row r="1" spans="1:34" ht="24" customHeight="1">
      <c r="A1" s="293" t="s">
        <v>722</v>
      </c>
      <c r="B1" s="293"/>
      <c r="C1" s="293"/>
      <c r="D1" s="293"/>
      <c r="E1" s="293"/>
      <c r="F1" s="293"/>
      <c r="G1" s="293"/>
      <c r="H1" s="293"/>
      <c r="I1" s="293"/>
      <c r="J1" s="330"/>
      <c r="K1" s="330"/>
      <c r="L1" s="330"/>
      <c r="M1" s="330"/>
      <c r="N1" s="330"/>
      <c r="O1" s="330"/>
      <c r="P1" s="330"/>
      <c r="Q1" s="330"/>
      <c r="R1" s="330"/>
      <c r="S1" s="330"/>
      <c r="T1" s="330"/>
      <c r="U1" s="330"/>
      <c r="V1" s="330"/>
      <c r="W1" s="330"/>
      <c r="X1" s="330"/>
      <c r="Y1" s="330"/>
      <c r="Z1" s="330"/>
      <c r="AA1" s="330"/>
      <c r="AB1" s="330"/>
      <c r="AC1" s="330"/>
      <c r="AD1" s="330"/>
      <c r="AE1" s="330"/>
      <c r="AF1" s="330"/>
      <c r="AG1" s="330"/>
      <c r="AH1" s="330"/>
    </row>
    <row r="2" spans="1:34" ht="13.5" customHeight="1">
      <c r="A2" s="294" t="s">
        <v>723</v>
      </c>
      <c r="B2" s="294"/>
      <c r="C2" s="294"/>
      <c r="D2" s="294"/>
      <c r="E2" s="294"/>
      <c r="F2" s="294"/>
      <c r="G2" s="294"/>
      <c r="H2" s="294"/>
      <c r="I2" s="194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spans="1:34" ht="6" customHeight="1">
      <c r="A3" s="121"/>
      <c r="B3" s="121"/>
      <c r="C3" s="121"/>
      <c r="D3" s="121"/>
      <c r="E3" s="121"/>
      <c r="F3" s="121"/>
      <c r="G3" s="121"/>
      <c r="H3" s="121"/>
      <c r="I3" s="12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1:34" ht="18" customHeight="1">
      <c r="A4" s="191" t="s">
        <v>724</v>
      </c>
      <c r="B4" s="191" t="s">
        <v>725</v>
      </c>
      <c r="C4" s="191" t="s">
        <v>726</v>
      </c>
      <c r="D4" s="191" t="s">
        <v>727</v>
      </c>
      <c r="E4" s="191" t="s">
        <v>728</v>
      </c>
      <c r="F4" s="191" t="s">
        <v>729</v>
      </c>
      <c r="G4" s="191" t="s">
        <v>730</v>
      </c>
      <c r="H4" s="191" t="s">
        <v>731</v>
      </c>
      <c r="I4" s="123" t="s">
        <v>732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spans="1:34" ht="30" customHeight="1">
      <c r="A5" s="298" t="s">
        <v>733</v>
      </c>
      <c r="B5" s="298"/>
      <c r="C5" s="298"/>
      <c r="D5" s="298"/>
      <c r="E5" s="298"/>
      <c r="F5" s="298"/>
      <c r="G5" s="298"/>
      <c r="H5" s="298"/>
      <c r="I5" s="121" t="s">
        <v>734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</row>
    <row r="6" spans="1:34" ht="30" customHeight="1">
      <c r="A6" s="195" t="s">
        <v>735</v>
      </c>
      <c r="B6" s="196" t="s">
        <v>736</v>
      </c>
      <c r="C6" s="197" t="s">
        <v>737</v>
      </c>
      <c r="D6" s="151" t="s">
        <v>738</v>
      </c>
      <c r="E6" s="198">
        <v>731.25</v>
      </c>
      <c r="F6" s="199" t="s">
        <v>739</v>
      </c>
      <c r="G6" s="200">
        <v>731.25</v>
      </c>
      <c r="H6" s="201">
        <f>E6-G6</f>
        <v>0</v>
      </c>
      <c r="I6" s="121" t="s">
        <v>740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spans="1:34" ht="30" customHeight="1">
      <c r="A7" s="202" t="s">
        <v>741</v>
      </c>
      <c r="B7" s="203" t="s">
        <v>736</v>
      </c>
      <c r="C7" s="204" t="s">
        <v>742</v>
      </c>
      <c r="D7" s="205" t="s">
        <v>738</v>
      </c>
      <c r="E7" s="206">
        <v>700</v>
      </c>
      <c r="F7" s="155" t="s">
        <v>437</v>
      </c>
      <c r="G7" s="207">
        <v>700</v>
      </c>
      <c r="H7" s="208">
        <f>E7-G7</f>
        <v>0</v>
      </c>
      <c r="I7" s="121" t="s">
        <v>743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</row>
    <row r="8" spans="1:34" ht="30" customHeight="1">
      <c r="A8" s="209" t="s">
        <v>744</v>
      </c>
      <c r="B8" s="209" t="s">
        <v>736</v>
      </c>
      <c r="C8" s="209" t="s">
        <v>745</v>
      </c>
      <c r="D8" s="209" t="s">
        <v>678</v>
      </c>
      <c r="E8" s="210">
        <v>4675</v>
      </c>
      <c r="F8" s="210" t="s">
        <v>738</v>
      </c>
      <c r="G8" s="210">
        <v>4675</v>
      </c>
      <c r="H8" s="210">
        <f>E8-G8</f>
        <v>0</v>
      </c>
      <c r="I8" s="121" t="s">
        <v>746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</row>
    <row r="9" spans="1:34" ht="30" customHeight="1">
      <c r="A9" s="195" t="s">
        <v>747</v>
      </c>
      <c r="B9" s="196" t="s">
        <v>736</v>
      </c>
      <c r="C9" s="197" t="s">
        <v>748</v>
      </c>
      <c r="D9" s="151" t="s">
        <v>683</v>
      </c>
      <c r="E9" s="198">
        <v>672.5</v>
      </c>
      <c r="F9" s="199" t="s">
        <v>738</v>
      </c>
      <c r="G9" s="200">
        <v>672.5</v>
      </c>
      <c r="H9" s="201">
        <f>E9-G9</f>
        <v>0</v>
      </c>
      <c r="I9" s="121" t="s">
        <v>749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</row>
    <row r="10" spans="1:34" ht="30" customHeight="1">
      <c r="A10" s="202" t="s">
        <v>750</v>
      </c>
      <c r="B10" s="203" t="s">
        <v>736</v>
      </c>
      <c r="C10" s="204" t="s">
        <v>751</v>
      </c>
      <c r="D10" s="205" t="s">
        <v>752</v>
      </c>
      <c r="E10" s="206">
        <v>2551.25</v>
      </c>
      <c r="F10" s="155" t="s">
        <v>738</v>
      </c>
      <c r="G10" s="207">
        <v>2551.25</v>
      </c>
      <c r="H10" s="208">
        <f>E10-G10</f>
        <v>0</v>
      </c>
      <c r="I10" s="121" t="s">
        <v>753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</row>
    <row r="11" spans="1:34" ht="30" customHeight="1">
      <c r="A11" s="202" t="s">
        <v>754</v>
      </c>
      <c r="B11" s="203" t="s">
        <v>736</v>
      </c>
      <c r="C11" s="204" t="s">
        <v>755</v>
      </c>
      <c r="D11" s="205" t="s">
        <v>756</v>
      </c>
      <c r="E11" s="206">
        <v>324.88</v>
      </c>
      <c r="F11" s="155" t="s">
        <v>738</v>
      </c>
      <c r="G11" s="207">
        <v>324.88</v>
      </c>
      <c r="H11" s="208">
        <f>E11-G11</f>
        <v>0</v>
      </c>
      <c r="I11" s="121" t="s">
        <v>757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</row>
    <row r="12" spans="1:34" ht="30" customHeight="1">
      <c r="A12" s="202" t="s">
        <v>758</v>
      </c>
      <c r="B12" s="203" t="s">
        <v>736</v>
      </c>
      <c r="C12" s="204" t="s">
        <v>759</v>
      </c>
      <c r="D12" s="205" t="s">
        <v>760</v>
      </c>
      <c r="E12" s="206">
        <v>595.83000000000004</v>
      </c>
      <c r="F12" s="155" t="s">
        <v>761</v>
      </c>
      <c r="G12" s="207">
        <v>595.83000000000004</v>
      </c>
      <c r="H12" s="208">
        <f>E12-G12</f>
        <v>0</v>
      </c>
      <c r="I12" s="121" t="s">
        <v>762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</row>
    <row r="13" spans="1:34" ht="30" customHeight="1">
      <c r="A13" s="209" t="s">
        <v>763</v>
      </c>
      <c r="B13" s="209" t="s">
        <v>736</v>
      </c>
      <c r="C13" s="209" t="s">
        <v>764</v>
      </c>
      <c r="D13" s="209" t="s">
        <v>765</v>
      </c>
      <c r="E13" s="210">
        <v>490.75</v>
      </c>
      <c r="F13" s="210" t="s">
        <v>738</v>
      </c>
      <c r="G13" s="210">
        <v>490.75</v>
      </c>
      <c r="H13" s="210">
        <f>E13-G13</f>
        <v>0</v>
      </c>
      <c r="I13" s="121" t="s">
        <v>766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</row>
    <row r="14" spans="1:34" ht="30" customHeight="1">
      <c r="A14" s="195" t="s">
        <v>767</v>
      </c>
      <c r="B14" s="196" t="s">
        <v>736</v>
      </c>
      <c r="C14" s="197" t="s">
        <v>768</v>
      </c>
      <c r="D14" s="151" t="s">
        <v>712</v>
      </c>
      <c r="E14" s="198">
        <v>64.3</v>
      </c>
      <c r="F14" s="199" t="s">
        <v>769</v>
      </c>
      <c r="G14" s="200">
        <v>64.3</v>
      </c>
      <c r="H14" s="201">
        <f>E14-G14</f>
        <v>0</v>
      </c>
      <c r="I14" s="121" t="s">
        <v>770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</row>
    <row r="15" spans="1:34" ht="30" customHeight="1">
      <c r="A15" s="202" t="s">
        <v>771</v>
      </c>
      <c r="B15" s="203" t="s">
        <v>736</v>
      </c>
      <c r="C15" s="204" t="s">
        <v>772</v>
      </c>
      <c r="D15" s="205" t="s">
        <v>773</v>
      </c>
      <c r="E15" s="206">
        <v>3181.25</v>
      </c>
      <c r="F15" s="155" t="s">
        <v>738</v>
      </c>
      <c r="G15" s="207">
        <v>3181.25</v>
      </c>
      <c r="H15" s="208">
        <f>E15-G15</f>
        <v>0</v>
      </c>
      <c r="I15" s="121" t="s">
        <v>774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</row>
    <row r="16" spans="1:34" ht="30" customHeight="1">
      <c r="A16" s="209" t="s">
        <v>775</v>
      </c>
      <c r="B16" s="209" t="s">
        <v>776</v>
      </c>
      <c r="C16" s="209" t="s">
        <v>777</v>
      </c>
      <c r="D16" s="209" t="s">
        <v>738</v>
      </c>
      <c r="E16" s="210">
        <v>5875</v>
      </c>
      <c r="F16" s="210" t="s">
        <v>778</v>
      </c>
      <c r="G16" s="210">
        <v>5875</v>
      </c>
      <c r="H16" s="210">
        <f>E16-G16</f>
        <v>0</v>
      </c>
      <c r="I16" s="121" t="s">
        <v>779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</row>
    <row r="17" spans="1:9" ht="15.75" customHeight="1">
      <c r="A17" s="298"/>
      <c r="B17" s="298"/>
      <c r="C17" s="298"/>
      <c r="D17" s="298"/>
      <c r="E17" s="298"/>
      <c r="F17" s="298"/>
      <c r="G17" s="298"/>
      <c r="H17" s="298"/>
      <c r="I17" s="121"/>
    </row>
    <row r="18" spans="1:9" ht="35.25" customHeight="1">
      <c r="A18" s="211" t="s">
        <v>780</v>
      </c>
      <c r="B18" s="212"/>
      <c r="C18" s="213"/>
      <c r="D18" s="214" t="s">
        <v>781</v>
      </c>
      <c r="E18" s="215">
        <f>SUM(E5:E16)</f>
        <v>19862.009999999998</v>
      </c>
      <c r="F18" s="216" t="s">
        <v>782</v>
      </c>
      <c r="G18" s="217">
        <f>SUM(G5:G16)</f>
        <v>19862.009999999998</v>
      </c>
      <c r="H18" s="218">
        <f>E18-G18</f>
        <v>0</v>
      </c>
      <c r="I18" s="219"/>
    </row>
    <row r="19" spans="1:9" ht="16.5" customHeight="1">
      <c r="A19" s="202"/>
      <c r="B19" s="203"/>
      <c r="C19" s="204"/>
      <c r="D19" s="205"/>
      <c r="E19" s="153"/>
      <c r="F19" s="220"/>
      <c r="G19" s="221"/>
      <c r="H19" s="158"/>
      <c r="I19" s="121"/>
    </row>
    <row r="20" spans="1:9" ht="18" customHeight="1">
      <c r="A20" s="331" t="s">
        <v>783</v>
      </c>
      <c r="B20" s="332"/>
      <c r="C20" s="332"/>
      <c r="D20" s="332"/>
      <c r="E20" s="332"/>
      <c r="F20" s="332"/>
      <c r="G20" s="332"/>
      <c r="H20" s="333"/>
      <c r="I20" s="238"/>
    </row>
    <row r="21" spans="1:9" ht="16.5" customHeight="1">
      <c r="A21" s="319"/>
      <c r="B21" s="320"/>
      <c r="C21" s="321"/>
      <c r="D21" s="251"/>
      <c r="E21" s="322"/>
      <c r="F21" s="323"/>
      <c r="G21" s="324"/>
      <c r="H21" s="249"/>
      <c r="I21" s="121"/>
    </row>
    <row r="22" spans="1:9" ht="16.5" customHeight="1">
      <c r="A22" s="319"/>
      <c r="B22" s="320"/>
      <c r="C22" s="321"/>
      <c r="D22" s="325"/>
      <c r="E22" s="322"/>
      <c r="F22" s="326"/>
      <c r="G22" s="324"/>
      <c r="H22" s="249"/>
      <c r="I22" s="121"/>
    </row>
    <row r="23" spans="1:9" ht="19.5" customHeight="1">
      <c r="A23" s="327"/>
      <c r="B23" s="327"/>
      <c r="C23" s="327"/>
      <c r="D23" s="327"/>
      <c r="E23" s="327"/>
      <c r="F23" s="327"/>
      <c r="G23" s="327"/>
      <c r="H23" s="327"/>
      <c r="I23" s="121"/>
    </row>
    <row r="24" spans="1:9" ht="16.5" customHeight="1">
      <c r="A24" s="319"/>
      <c r="B24" s="320"/>
      <c r="C24" s="321"/>
      <c r="D24" s="251"/>
      <c r="E24" s="322"/>
      <c r="F24" s="323"/>
      <c r="G24" s="324"/>
      <c r="H24" s="249"/>
      <c r="I24" s="121"/>
    </row>
    <row r="25" spans="1:9" ht="16.5" customHeight="1">
      <c r="A25" s="319"/>
      <c r="B25" s="320"/>
      <c r="C25" s="321"/>
      <c r="D25" s="325"/>
      <c r="E25" s="322"/>
      <c r="F25" s="326"/>
      <c r="G25" s="324"/>
      <c r="H25" s="249"/>
      <c r="I25" s="121"/>
    </row>
    <row r="26" spans="1:9" ht="12.75" customHeight="1">
      <c r="A26" s="327"/>
      <c r="B26" s="327"/>
      <c r="C26" s="327"/>
      <c r="D26" s="327"/>
      <c r="E26" s="327"/>
      <c r="F26" s="327"/>
      <c r="G26" s="327"/>
      <c r="H26" s="327"/>
      <c r="I26" s="121"/>
    </row>
    <row r="27" spans="1:9" ht="15.75" customHeight="1">
      <c r="A27" s="328"/>
      <c r="B27" s="328"/>
      <c r="C27" s="328"/>
      <c r="D27" s="328"/>
      <c r="E27" s="328"/>
      <c r="F27" s="328"/>
      <c r="G27" s="328"/>
      <c r="H27" s="328"/>
      <c r="I27" s="121"/>
    </row>
    <row r="28" spans="1:9" ht="16.5" customHeight="1">
      <c r="A28" s="319"/>
      <c r="B28" s="320"/>
      <c r="C28" s="321"/>
      <c r="D28" s="251"/>
      <c r="E28" s="322"/>
      <c r="F28" s="323"/>
      <c r="G28" s="324"/>
      <c r="H28" s="249"/>
      <c r="I28" s="121"/>
    </row>
    <row r="29" spans="1:9" ht="16.5" customHeight="1">
      <c r="A29" s="319"/>
      <c r="B29" s="320"/>
      <c r="C29" s="321"/>
      <c r="D29" s="325"/>
      <c r="E29" s="322"/>
      <c r="F29" s="326"/>
      <c r="G29" s="324"/>
      <c r="H29" s="249"/>
      <c r="I29" s="121"/>
    </row>
    <row r="30" spans="1:9" ht="12.75" customHeight="1">
      <c r="A30" s="327"/>
      <c r="B30" s="327"/>
      <c r="C30" s="327"/>
      <c r="D30" s="327"/>
      <c r="E30" s="327"/>
      <c r="F30" s="327"/>
      <c r="G30" s="327"/>
      <c r="H30" s="327"/>
      <c r="I30" s="121"/>
    </row>
    <row r="31" spans="1:9" ht="16.5" customHeight="1">
      <c r="A31" s="319"/>
      <c r="B31" s="320"/>
      <c r="C31" s="321"/>
      <c r="D31" s="251"/>
      <c r="E31" s="322"/>
      <c r="F31" s="323"/>
      <c r="G31" s="324"/>
      <c r="H31" s="249"/>
      <c r="I31" s="121"/>
    </row>
    <row r="32" spans="1:9" ht="16.5" customHeight="1">
      <c r="A32" s="319"/>
      <c r="B32" s="320"/>
      <c r="C32" s="321"/>
      <c r="D32" s="325"/>
      <c r="E32" s="322"/>
      <c r="F32" s="326"/>
      <c r="G32" s="324"/>
      <c r="H32" s="249"/>
      <c r="I32" s="121"/>
    </row>
    <row r="33" spans="1:9" ht="15.75" customHeight="1">
      <c r="A33" s="327"/>
      <c r="B33" s="327"/>
      <c r="C33" s="327"/>
      <c r="D33" s="327"/>
      <c r="E33" s="327"/>
      <c r="F33" s="327"/>
      <c r="G33" s="327"/>
      <c r="H33" s="327"/>
      <c r="I33" s="121"/>
    </row>
    <row r="34" spans="1:9" ht="16.5" customHeight="1">
      <c r="A34" s="319"/>
      <c r="B34" s="320"/>
      <c r="C34" s="321"/>
      <c r="D34" s="251"/>
      <c r="E34" s="322"/>
      <c r="F34" s="323"/>
      <c r="G34" s="324"/>
      <c r="H34" s="249"/>
      <c r="I34" s="121"/>
    </row>
    <row r="35" spans="1:9" ht="16.5" customHeight="1">
      <c r="A35" s="319"/>
      <c r="B35" s="320"/>
      <c r="C35" s="321"/>
      <c r="D35" s="325"/>
      <c r="E35" s="322"/>
      <c r="F35" s="326"/>
      <c r="G35" s="324"/>
      <c r="H35" s="249"/>
      <c r="I35" s="121"/>
    </row>
    <row r="36" spans="1:9" ht="12.75" customHeight="1">
      <c r="A36" s="327"/>
      <c r="B36" s="327"/>
      <c r="C36" s="327"/>
      <c r="D36" s="327"/>
      <c r="E36" s="327"/>
      <c r="F36" s="327"/>
      <c r="G36" s="327"/>
      <c r="H36" s="327"/>
      <c r="I36" s="121"/>
    </row>
    <row r="37" spans="1:9" ht="16.5" customHeight="1">
      <c r="A37" s="319"/>
      <c r="B37" s="320"/>
      <c r="C37" s="321"/>
      <c r="D37" s="251"/>
      <c r="E37" s="322"/>
      <c r="F37" s="323"/>
      <c r="G37" s="324"/>
      <c r="H37" s="249"/>
      <c r="I37" s="121"/>
    </row>
    <row r="38" spans="1:9" ht="16.5" customHeight="1">
      <c r="A38" s="319"/>
      <c r="B38" s="320"/>
      <c r="C38" s="321"/>
      <c r="D38" s="325"/>
      <c r="E38" s="322"/>
      <c r="F38" s="326"/>
      <c r="G38" s="324"/>
      <c r="H38" s="249"/>
      <c r="I38" s="121"/>
    </row>
    <row r="39" spans="1:9" ht="3.75" customHeight="1">
      <c r="A39" s="327"/>
      <c r="B39" s="327"/>
      <c r="C39" s="327"/>
      <c r="D39" s="327"/>
      <c r="E39" s="327"/>
      <c r="F39" s="327"/>
      <c r="G39" s="327"/>
      <c r="H39" s="327"/>
      <c r="I39" s="121"/>
    </row>
    <row r="40" spans="1:9" ht="15.75" customHeight="1">
      <c r="A40" s="328"/>
      <c r="B40" s="328"/>
      <c r="C40" s="328"/>
      <c r="D40" s="328"/>
      <c r="E40" s="328"/>
      <c r="F40" s="328"/>
      <c r="G40" s="328"/>
      <c r="H40" s="328"/>
      <c r="I40" s="121"/>
    </row>
    <row r="41" spans="1:9" ht="16.5" customHeight="1">
      <c r="A41" s="319"/>
      <c r="B41" s="320"/>
      <c r="C41" s="321"/>
      <c r="D41" s="251"/>
      <c r="E41" s="322"/>
      <c r="F41" s="323"/>
      <c r="G41" s="324"/>
      <c r="H41" s="249"/>
      <c r="I41" s="121"/>
    </row>
    <row r="42" spans="1:9" ht="16.5" customHeight="1">
      <c r="A42" s="319"/>
      <c r="B42" s="320"/>
      <c r="C42" s="321"/>
      <c r="D42" s="251"/>
      <c r="E42" s="322"/>
      <c r="F42" s="323"/>
      <c r="G42" s="324"/>
      <c r="H42" s="249"/>
      <c r="I42" s="121"/>
    </row>
    <row r="43" spans="1:9" ht="16.5" customHeight="1">
      <c r="A43" s="319"/>
      <c r="B43" s="320"/>
      <c r="C43" s="321"/>
      <c r="D43" s="325"/>
      <c r="E43" s="322"/>
      <c r="F43" s="326"/>
      <c r="G43" s="324"/>
      <c r="H43" s="249"/>
      <c r="I43" s="121"/>
    </row>
    <row r="44" spans="1:9" ht="16.5" customHeight="1">
      <c r="A44" s="319"/>
      <c r="B44" s="320"/>
      <c r="C44" s="321"/>
      <c r="D44" s="325"/>
      <c r="E44" s="322"/>
      <c r="F44" s="326"/>
      <c r="G44" s="324"/>
      <c r="H44" s="249"/>
      <c r="I44" s="121"/>
    </row>
    <row r="45" spans="1:9" ht="14.25" customHeight="1">
      <c r="A45" s="327"/>
      <c r="B45" s="327"/>
      <c r="C45" s="327"/>
      <c r="D45" s="327"/>
      <c r="E45" s="327"/>
      <c r="F45" s="327"/>
      <c r="G45" s="327"/>
      <c r="H45" s="327"/>
      <c r="I45" s="121"/>
    </row>
    <row r="46" spans="1:9" ht="16.5" customHeight="1">
      <c r="A46" s="319"/>
      <c r="B46" s="320"/>
      <c r="C46" s="321"/>
      <c r="D46" s="251"/>
      <c r="E46" s="322"/>
      <c r="F46" s="323"/>
      <c r="G46" s="324"/>
      <c r="H46" s="249"/>
      <c r="I46" s="121"/>
    </row>
    <row r="47" spans="1:9" ht="16.5" customHeight="1">
      <c r="A47" s="319"/>
      <c r="B47" s="320"/>
      <c r="C47" s="321"/>
      <c r="D47" s="325"/>
      <c r="E47" s="322"/>
      <c r="F47" s="326"/>
      <c r="G47" s="324"/>
      <c r="H47" s="249"/>
      <c r="I47" s="121"/>
    </row>
    <row r="48" spans="1:9" ht="11.25" customHeight="1">
      <c r="A48" s="327"/>
      <c r="B48" s="327"/>
      <c r="C48" s="327"/>
      <c r="D48" s="327"/>
      <c r="E48" s="327"/>
      <c r="F48" s="327"/>
      <c r="G48" s="327"/>
      <c r="H48" s="327"/>
      <c r="I48" s="121"/>
    </row>
    <row r="49" spans="1:9" ht="16.5" customHeight="1">
      <c r="A49" s="319"/>
      <c r="B49" s="320"/>
      <c r="C49" s="321"/>
      <c r="D49" s="251"/>
      <c r="E49" s="322"/>
      <c r="F49" s="323"/>
      <c r="G49" s="324"/>
      <c r="H49" s="249"/>
      <c r="I49" s="121"/>
    </row>
    <row r="50" spans="1:9" ht="16.5" customHeight="1">
      <c r="A50" s="319"/>
      <c r="B50" s="320"/>
      <c r="C50" s="321"/>
      <c r="D50" s="325"/>
      <c r="E50" s="322"/>
      <c r="F50" s="326"/>
      <c r="G50" s="324"/>
      <c r="H50" s="249"/>
      <c r="I50" s="121"/>
    </row>
    <row r="51" spans="1:9" ht="16.5" customHeight="1">
      <c r="A51" s="327"/>
      <c r="B51" s="327"/>
      <c r="C51" s="327"/>
      <c r="D51" s="327"/>
      <c r="E51" s="327"/>
      <c r="F51" s="327"/>
      <c r="G51" s="327"/>
      <c r="H51" s="327"/>
      <c r="I51" s="121"/>
    </row>
    <row r="52" spans="1:9" ht="15.75" customHeight="1">
      <c r="A52" s="328"/>
      <c r="B52" s="328"/>
      <c r="C52" s="328"/>
      <c r="D52" s="328"/>
      <c r="E52" s="328"/>
      <c r="F52" s="328"/>
      <c r="G52" s="328"/>
      <c r="H52" s="328"/>
      <c r="I52" s="121"/>
    </row>
    <row r="53" spans="1:9" ht="16.5" customHeight="1">
      <c r="A53" s="319"/>
      <c r="B53" s="320"/>
      <c r="C53" s="321"/>
      <c r="D53" s="251"/>
      <c r="E53" s="322"/>
      <c r="F53" s="323"/>
      <c r="G53" s="324"/>
      <c r="H53" s="249"/>
      <c r="I53" s="121"/>
    </row>
    <row r="54" spans="1:9" ht="16.5" customHeight="1">
      <c r="A54" s="319"/>
      <c r="B54" s="320"/>
      <c r="C54" s="321"/>
      <c r="D54" s="325"/>
      <c r="E54" s="322"/>
      <c r="F54" s="326"/>
      <c r="G54" s="324"/>
      <c r="H54" s="249"/>
      <c r="I54" s="121"/>
    </row>
    <row r="55" spans="1:9" ht="16.5" customHeight="1">
      <c r="A55" s="319"/>
      <c r="B55" s="320"/>
      <c r="C55" s="321"/>
      <c r="D55" s="325"/>
      <c r="E55" s="322"/>
      <c r="F55" s="326"/>
      <c r="G55" s="324"/>
      <c r="H55" s="249"/>
      <c r="I55" s="121"/>
    </row>
    <row r="56" spans="1:9" ht="15.75" customHeight="1">
      <c r="A56" s="327"/>
      <c r="B56" s="327"/>
      <c r="C56" s="327"/>
      <c r="D56" s="327"/>
      <c r="E56" s="327"/>
      <c r="F56" s="327"/>
      <c r="G56" s="327"/>
      <c r="H56" s="327"/>
      <c r="I56" s="121"/>
    </row>
    <row r="57" spans="1:9" ht="16.5" customHeight="1">
      <c r="A57" s="319"/>
      <c r="B57" s="320"/>
      <c r="C57" s="321"/>
      <c r="D57" s="251"/>
      <c r="E57" s="322"/>
      <c r="F57" s="323"/>
      <c r="G57" s="324"/>
      <c r="H57" s="249"/>
      <c r="I57" s="121"/>
    </row>
    <row r="58" spans="1:9" ht="16.5" customHeight="1">
      <c r="A58" s="319"/>
      <c r="B58" s="320"/>
      <c r="C58" s="321"/>
      <c r="D58" s="251"/>
      <c r="E58" s="322"/>
      <c r="F58" s="323"/>
      <c r="G58" s="324"/>
      <c r="H58" s="249"/>
      <c r="I58" s="121"/>
    </row>
    <row r="59" spans="1:9" ht="16.5" customHeight="1">
      <c r="A59" s="319"/>
      <c r="B59" s="320"/>
      <c r="C59" s="321"/>
      <c r="D59" s="251"/>
      <c r="E59" s="322"/>
      <c r="F59" s="323"/>
      <c r="G59" s="324"/>
      <c r="H59" s="249"/>
      <c r="I59" s="121"/>
    </row>
    <row r="60" spans="1:9" ht="16.5" customHeight="1">
      <c r="A60" s="319"/>
      <c r="B60" s="320"/>
      <c r="C60" s="321"/>
      <c r="D60" s="251"/>
      <c r="E60" s="322"/>
      <c r="F60" s="323"/>
      <c r="G60" s="324"/>
      <c r="H60" s="249"/>
      <c r="I60" s="121"/>
    </row>
    <row r="61" spans="1:9" ht="16.5" customHeight="1">
      <c r="A61" s="319"/>
      <c r="B61" s="320"/>
      <c r="C61" s="321"/>
      <c r="D61" s="251"/>
      <c r="E61" s="322"/>
      <c r="F61" s="323"/>
      <c r="G61" s="324"/>
      <c r="H61" s="249"/>
      <c r="I61" s="121"/>
    </row>
    <row r="62" spans="1:9" ht="16.5" customHeight="1">
      <c r="A62" s="319"/>
      <c r="B62" s="320"/>
      <c r="C62" s="321"/>
      <c r="D62" s="325"/>
      <c r="E62" s="322"/>
      <c r="F62" s="326"/>
      <c r="G62" s="324"/>
      <c r="H62" s="249"/>
      <c r="I62" s="121"/>
    </row>
    <row r="63" spans="1:9" ht="15.75" customHeight="1">
      <c r="A63" s="327"/>
      <c r="B63" s="327"/>
      <c r="C63" s="327"/>
      <c r="D63" s="327"/>
      <c r="E63" s="327"/>
      <c r="F63" s="327"/>
      <c r="G63" s="327"/>
      <c r="H63" s="327"/>
      <c r="I63" s="121"/>
    </row>
    <row r="64" spans="1:9" ht="15.75" customHeight="1">
      <c r="A64" s="329"/>
      <c r="B64" s="329"/>
      <c r="C64" s="329"/>
      <c r="D64" s="329"/>
      <c r="E64" s="329"/>
      <c r="F64" s="329"/>
      <c r="G64" s="329"/>
      <c r="H64" s="329"/>
      <c r="I64" s="121"/>
    </row>
    <row r="65" spans="1:9" ht="15" customHeight="1">
      <c r="A65" s="121"/>
      <c r="B65" s="121"/>
      <c r="C65" s="121"/>
      <c r="D65" s="121"/>
      <c r="E65" s="121"/>
      <c r="F65" s="121"/>
      <c r="G65" s="121"/>
      <c r="H65" s="121"/>
      <c r="I65" s="121"/>
    </row>
    <row r="66" spans="1:9" ht="15" customHeight="1">
      <c r="A66" s="121"/>
      <c r="B66" s="121"/>
      <c r="C66" s="121"/>
      <c r="D66" s="121"/>
      <c r="E66" s="121"/>
      <c r="F66" s="121"/>
      <c r="G66" s="121"/>
      <c r="H66" s="121"/>
      <c r="I66" s="121"/>
    </row>
    <row r="67" spans="1:9" ht="15" customHeight="1">
      <c r="A67" s="121"/>
      <c r="B67" s="121"/>
      <c r="C67" s="121"/>
      <c r="D67" s="121"/>
      <c r="E67" s="121"/>
      <c r="F67" s="121"/>
      <c r="G67" s="121"/>
      <c r="H67" s="121"/>
      <c r="I67" s="121"/>
    </row>
    <row r="68" spans="1:9" ht="15" customHeight="1">
      <c r="A68" s="121"/>
      <c r="B68" s="121"/>
      <c r="C68" s="121"/>
      <c r="D68" s="121"/>
      <c r="E68" s="121"/>
      <c r="F68" s="121"/>
      <c r="G68" s="121"/>
      <c r="H68" s="121"/>
      <c r="I68" s="121"/>
    </row>
    <row r="69" spans="1:9" ht="15" customHeight="1">
      <c r="A69" s="121"/>
      <c r="B69" s="121"/>
      <c r="C69" s="121"/>
      <c r="D69" s="121"/>
      <c r="E69" s="121"/>
      <c r="F69" s="121"/>
      <c r="G69" s="121"/>
      <c r="H69" s="121"/>
      <c r="I69" s="121"/>
    </row>
    <row r="70" spans="1:9" ht="15" customHeight="1">
      <c r="A70" s="121"/>
      <c r="B70" s="121"/>
      <c r="C70" s="121"/>
      <c r="D70" s="121"/>
      <c r="E70" s="121"/>
      <c r="F70" s="121"/>
      <c r="G70" s="121"/>
      <c r="H70" s="121"/>
      <c r="I70" s="121"/>
    </row>
    <row r="71" spans="1:9" ht="15" customHeight="1">
      <c r="A71" s="121"/>
      <c r="B71" s="121"/>
      <c r="C71" s="121"/>
      <c r="D71" s="121"/>
      <c r="E71" s="121"/>
      <c r="F71" s="121"/>
      <c r="G71" s="121"/>
      <c r="H71" s="121"/>
      <c r="I71" s="121"/>
    </row>
    <row r="72" spans="1:9" ht="15" customHeight="1">
      <c r="A72" s="121"/>
      <c r="B72" s="121"/>
      <c r="C72" s="121"/>
      <c r="D72" s="121"/>
      <c r="E72" s="121"/>
      <c r="F72" s="121"/>
      <c r="G72" s="121"/>
      <c r="H72" s="121"/>
      <c r="I72" s="121"/>
    </row>
    <row r="73" spans="1:9" ht="15" customHeight="1">
      <c r="A73" s="121"/>
      <c r="B73" s="121"/>
      <c r="C73" s="121"/>
      <c r="D73" s="121"/>
      <c r="E73" s="121"/>
      <c r="F73" s="121"/>
      <c r="G73" s="121"/>
      <c r="H73" s="121"/>
      <c r="I73" s="121"/>
    </row>
    <row r="74" spans="1:9" ht="15" customHeight="1">
      <c r="A74" s="121"/>
      <c r="B74" s="121"/>
      <c r="C74" s="121"/>
      <c r="D74" s="121"/>
      <c r="E74" s="121"/>
      <c r="F74" s="121"/>
      <c r="G74" s="121"/>
      <c r="H74" s="121"/>
      <c r="I74" s="121"/>
    </row>
    <row r="75" spans="1:9" ht="15" customHeight="1">
      <c r="A75" s="121"/>
      <c r="B75" s="121"/>
      <c r="C75" s="121"/>
      <c r="D75" s="121"/>
      <c r="E75" s="121"/>
      <c r="F75" s="121"/>
      <c r="G75" s="121"/>
      <c r="H75" s="121"/>
      <c r="I75" s="121"/>
    </row>
    <row r="76" spans="1:9" ht="15" customHeight="1">
      <c r="A76" s="121"/>
      <c r="B76" s="121"/>
      <c r="C76" s="121"/>
      <c r="D76" s="121"/>
      <c r="E76" s="121"/>
      <c r="F76" s="121"/>
      <c r="G76" s="121"/>
      <c r="H76" s="121"/>
      <c r="I76" s="121"/>
    </row>
    <row r="77" spans="1:9" ht="15" customHeight="1">
      <c r="A77" s="121"/>
      <c r="B77" s="121"/>
      <c r="C77" s="121"/>
      <c r="D77" s="121"/>
      <c r="E77" s="121"/>
      <c r="F77" s="121"/>
      <c r="G77" s="121"/>
      <c r="H77" s="121"/>
      <c r="I77" s="121"/>
    </row>
    <row r="78" spans="1:9" ht="15" customHeight="1">
      <c r="A78" s="121"/>
      <c r="B78" s="121"/>
      <c r="C78" s="121"/>
      <c r="D78" s="121"/>
      <c r="E78" s="121"/>
      <c r="F78" s="121"/>
      <c r="G78" s="121"/>
      <c r="H78" s="121"/>
      <c r="I78" s="121"/>
    </row>
    <row r="79" spans="1:9" ht="15" customHeight="1">
      <c r="A79" s="121"/>
      <c r="B79" s="121"/>
      <c r="C79" s="121"/>
      <c r="D79" s="121"/>
      <c r="E79" s="121"/>
      <c r="F79" s="121"/>
      <c r="G79" s="121"/>
      <c r="H79" s="121"/>
      <c r="I79" s="121"/>
    </row>
    <row r="80" spans="1:9" ht="15" customHeight="1">
      <c r="A80" s="121"/>
      <c r="B80" s="121"/>
      <c r="C80" s="121"/>
      <c r="D80" s="121"/>
      <c r="E80" s="121"/>
      <c r="F80" s="121"/>
      <c r="G80" s="121"/>
      <c r="H80" s="121"/>
      <c r="I80" s="121"/>
    </row>
  </sheetData>
  <mergeCells count="9">
    <mergeCell ref="A27:H27"/>
    <mergeCell ref="A40:H40"/>
    <mergeCell ref="A52:H52"/>
    <mergeCell ref="A64:H64"/>
    <mergeCell ref="A1:I1"/>
    <mergeCell ref="A2:H2"/>
    <mergeCell ref="A5:H5"/>
    <mergeCell ref="A17:H17"/>
    <mergeCell ref="A20:H20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80"/>
  <sheetViews>
    <sheetView zoomScaleNormal="100" workbookViewId="0">
      <selection activeCell="E5" sqref="E5"/>
    </sheetView>
  </sheetViews>
  <sheetFormatPr defaultColWidth="8.7109375" defaultRowHeight="15"/>
  <cols>
    <col min="1" max="1" width="26" style="13" customWidth="1"/>
    <col min="2" max="4" width="16" style="13" customWidth="1"/>
    <col min="5" max="5" width="28" style="13" customWidth="1"/>
    <col min="6" max="14" width="12" style="13" customWidth="1"/>
  </cols>
  <sheetData>
    <row r="1" spans="1:14" ht="24" customHeight="1">
      <c r="A1" s="253" t="s">
        <v>784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</row>
    <row r="2" spans="1:14" ht="19.5" customHeight="1">
      <c r="A2" s="254" t="s">
        <v>785</v>
      </c>
      <c r="B2" s="254"/>
      <c r="C2" s="254"/>
      <c r="D2" s="254"/>
      <c r="E2" s="254"/>
      <c r="F2" s="254"/>
      <c r="G2" s="254"/>
      <c r="H2" s="254"/>
      <c r="I2" s="254"/>
      <c r="J2" s="254"/>
      <c r="K2" s="254"/>
      <c r="L2" s="254"/>
      <c r="M2" s="254"/>
      <c r="N2" s="254"/>
    </row>
    <row r="3" spans="1:14" ht="15" customHeight="1">
      <c r="A3" s="56"/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</row>
    <row r="4" spans="1:14" ht="27.75" customHeight="1">
      <c r="A4" s="112" t="s">
        <v>786</v>
      </c>
      <c r="B4" s="112" t="s">
        <v>787</v>
      </c>
      <c r="C4" s="112" t="s">
        <v>788</v>
      </c>
      <c r="D4" s="112" t="s">
        <v>789</v>
      </c>
      <c r="E4" s="112" t="s">
        <v>790</v>
      </c>
      <c r="F4" s="56"/>
      <c r="G4" s="56"/>
      <c r="H4" s="56"/>
      <c r="I4" s="56"/>
      <c r="J4" s="56"/>
      <c r="K4" s="56"/>
      <c r="L4" s="56"/>
      <c r="M4" s="56"/>
      <c r="N4" s="56"/>
    </row>
    <row r="5" spans="1:14" ht="46.5" customHeight="1">
      <c r="A5" s="56" t="s">
        <v>791</v>
      </c>
      <c r="B5" s="56" t="s">
        <v>792</v>
      </c>
      <c r="C5" s="56" t="s">
        <v>793</v>
      </c>
      <c r="D5" s="56" t="s">
        <v>794</v>
      </c>
      <c r="E5" s="56" t="s">
        <v>795</v>
      </c>
      <c r="F5" s="56"/>
      <c r="G5" s="56"/>
      <c r="H5" s="56"/>
      <c r="I5" s="56"/>
      <c r="J5" s="56"/>
      <c r="K5" s="56"/>
      <c r="L5" s="56"/>
      <c r="M5" s="56"/>
      <c r="N5" s="56"/>
    </row>
    <row r="6" spans="1:14" ht="15" customHeight="1">
      <c r="A6" s="56"/>
      <c r="B6" s="56"/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</row>
    <row r="7" spans="1:14" ht="15" customHeight="1">
      <c r="A7" s="56"/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</row>
    <row r="8" spans="1:14" ht="27.75" customHeight="1">
      <c r="A8" s="112" t="s">
        <v>138</v>
      </c>
      <c r="B8" s="112" t="s">
        <v>796</v>
      </c>
      <c r="C8" s="112" t="s">
        <v>797</v>
      </c>
      <c r="D8" s="112" t="s">
        <v>798</v>
      </c>
      <c r="E8" s="112" t="s">
        <v>799</v>
      </c>
      <c r="F8" s="112" t="s">
        <v>800</v>
      </c>
      <c r="G8" s="56"/>
      <c r="H8" s="56"/>
      <c r="I8" s="56"/>
      <c r="J8" s="56"/>
      <c r="K8" s="56"/>
      <c r="L8" s="56"/>
      <c r="M8" s="56"/>
      <c r="N8" s="56"/>
    </row>
    <row r="9" spans="1:14" ht="15" customHeight="1">
      <c r="A9" s="115" t="s">
        <v>427</v>
      </c>
      <c r="B9" s="116">
        <f>SUMIFS(Model_Data!$P:$P,Model_Data!$A:$A,"&gt;=2020-09",Model_Data!$A:$A,"&lt;=2020-12")/4</f>
        <v>8854.6875</v>
      </c>
      <c r="C9" s="116">
        <f>B9*12</f>
        <v>106256.25</v>
      </c>
      <c r="D9" s="116">
        <f>SUM(D10:D15)</f>
        <v>117700</v>
      </c>
      <c r="E9" s="115" t="s">
        <v>801</v>
      </c>
      <c r="F9" s="115" t="s">
        <v>552</v>
      </c>
      <c r="G9" s="56"/>
      <c r="H9" s="56"/>
      <c r="I9" s="56"/>
      <c r="J9" s="56"/>
      <c r="K9" s="56"/>
      <c r="L9" s="56"/>
      <c r="M9" s="56"/>
      <c r="N9" s="56"/>
    </row>
    <row r="10" spans="1:14" ht="15" customHeight="1">
      <c r="A10" s="56" t="s">
        <v>429</v>
      </c>
      <c r="B10" s="113">
        <f>SUMIFS(Model_Data!$D:$D,Model_Data!$A:$A,"&gt;=2020-09",Model_Data!$A:$A,"&lt;=2020-12")/4</f>
        <v>4764.0625</v>
      </c>
      <c r="C10" s="113">
        <f>B10*12</f>
        <v>57168.75</v>
      </c>
      <c r="D10" s="222">
        <v>60000</v>
      </c>
      <c r="E10" s="56" t="s">
        <v>802</v>
      </c>
      <c r="F10" s="56" t="s">
        <v>495</v>
      </c>
      <c r="G10" s="56"/>
      <c r="H10" s="56"/>
      <c r="I10" s="56"/>
      <c r="J10" s="56"/>
      <c r="K10" s="56"/>
      <c r="L10" s="56"/>
      <c r="M10" s="56"/>
      <c r="N10" s="56"/>
    </row>
    <row r="11" spans="1:14" ht="15" customHeight="1">
      <c r="A11" s="56" t="s">
        <v>431</v>
      </c>
      <c r="B11" s="113">
        <f>SUMIFS(Model_Data!$F:$F,Model_Data!$A:$A,"&gt;=2020-09",Model_Data!$A:$A,"&lt;=2020-12")/4</f>
        <v>2073.4375</v>
      </c>
      <c r="C11" s="113">
        <f>B11*12</f>
        <v>24881.25</v>
      </c>
      <c r="D11" s="222">
        <v>19200</v>
      </c>
      <c r="E11" s="56" t="s">
        <v>803</v>
      </c>
      <c r="F11" s="56" t="s">
        <v>495</v>
      </c>
      <c r="G11" s="56"/>
      <c r="H11" s="56"/>
      <c r="I11" s="56"/>
      <c r="J11" s="56"/>
      <c r="K11" s="56"/>
      <c r="L11" s="56"/>
      <c r="M11" s="56"/>
      <c r="N11" s="56"/>
    </row>
    <row r="12" spans="1:14" ht="15" customHeight="1">
      <c r="A12" s="56" t="s">
        <v>433</v>
      </c>
      <c r="B12" s="113">
        <f>SUMIFS(Model_Data!$E:$E,Model_Data!$A:$A,"&gt;=2020-09",Model_Data!$A:$A,"&lt;=2020-12")/4</f>
        <v>1750</v>
      </c>
      <c r="C12" s="113">
        <f>B12*12</f>
        <v>21000</v>
      </c>
      <c r="D12" s="222">
        <v>28800</v>
      </c>
      <c r="E12" s="56" t="s">
        <v>804</v>
      </c>
      <c r="F12" s="56" t="s">
        <v>495</v>
      </c>
      <c r="G12" s="56"/>
      <c r="H12" s="56"/>
      <c r="I12" s="56"/>
      <c r="J12" s="56"/>
      <c r="K12" s="56"/>
      <c r="L12" s="56"/>
      <c r="M12" s="56"/>
      <c r="N12" s="56"/>
    </row>
    <row r="13" spans="1:14" ht="15" customHeight="1">
      <c r="A13" s="56" t="s">
        <v>435</v>
      </c>
      <c r="B13" s="113">
        <f>SUMIFS(Model_Data!$H:$H,Model_Data!$A:$A,"&gt;=2020-09",Model_Data!$A:$A,"&lt;=2020-12")/4</f>
        <v>0</v>
      </c>
      <c r="C13" s="113">
        <f>B13*12</f>
        <v>0</v>
      </c>
      <c r="D13" s="222">
        <v>5000</v>
      </c>
      <c r="E13" s="56" t="s">
        <v>805</v>
      </c>
      <c r="F13" s="56" t="s">
        <v>495</v>
      </c>
      <c r="G13" s="56"/>
      <c r="H13" s="56"/>
      <c r="I13" s="56"/>
      <c r="J13" s="56"/>
      <c r="K13" s="56"/>
      <c r="L13" s="56"/>
      <c r="M13" s="56"/>
      <c r="N13" s="56"/>
    </row>
    <row r="14" spans="1:14" ht="15" customHeight="1">
      <c r="A14" s="56" t="s">
        <v>437</v>
      </c>
      <c r="B14" s="113">
        <f>(SUMIFS(Model_Data!$K:$K,Model_Data!$A:$A,"&gt;=2020-09",Model_Data!$A:$A,"&lt;=2020-12")+SUMIFS(Model_Data!$L:$L,Model_Data!$A:$A,"&gt;=2020-09",Model_Data!$A:$A,"&lt;=2020-12")+SUMIFS(Model_Data!$M:$M,Model_Data!$A:$A,"&gt;=2020-09",Model_Data!$A:$A,"&lt;=2020-12"))/4</f>
        <v>262.5</v>
      </c>
      <c r="C14" s="113">
        <f>B14*12</f>
        <v>3150</v>
      </c>
      <c r="D14" s="222">
        <v>3200</v>
      </c>
      <c r="E14" s="56" t="s">
        <v>806</v>
      </c>
      <c r="F14" s="56" t="s">
        <v>495</v>
      </c>
      <c r="G14" s="56"/>
      <c r="H14" s="56"/>
      <c r="I14" s="56"/>
      <c r="J14" s="56"/>
      <c r="K14" s="56"/>
      <c r="L14" s="56"/>
      <c r="M14" s="56"/>
      <c r="N14" s="56"/>
    </row>
    <row r="15" spans="1:14" ht="27.75" customHeight="1">
      <c r="A15" s="56" t="s">
        <v>439</v>
      </c>
      <c r="B15" s="113">
        <f>(SUMIFS(Model_Data!$N:$N,Model_Data!$A:$A,"&gt;=2020-09",Model_Data!$A:$A,"&lt;=2020-12")+SUMIFS(Model_Data!$O:$O,Model_Data!$A:$A,"&gt;=2020-09",Model_Data!$A:$A,"&lt;=2020-12"))/4</f>
        <v>4.6875</v>
      </c>
      <c r="C15" s="113">
        <f>B15*12</f>
        <v>56.25</v>
      </c>
      <c r="D15" s="222">
        <v>1500</v>
      </c>
      <c r="E15" s="56" t="s">
        <v>807</v>
      </c>
      <c r="F15" s="56" t="s">
        <v>495</v>
      </c>
      <c r="G15" s="56"/>
      <c r="H15" s="56"/>
      <c r="I15" s="56"/>
      <c r="J15" s="56"/>
      <c r="K15" s="56"/>
      <c r="L15" s="56"/>
      <c r="M15" s="56"/>
      <c r="N15" s="56"/>
    </row>
    <row r="16" spans="1:14" ht="15" customHeight="1">
      <c r="A16" s="115" t="s">
        <v>441</v>
      </c>
      <c r="B16" s="116">
        <f>SUMIFS(Model_Data!$AB:$AB,Model_Data!$A:$A,"&gt;=2020-09",Model_Data!$A:$A,"&lt;=2020-12")/4</f>
        <v>5741.6324999999997</v>
      </c>
      <c r="C16" s="116">
        <f>B16*12</f>
        <v>68899.59</v>
      </c>
      <c r="D16" s="116">
        <f>SUM(D17:D25)</f>
        <v>88050</v>
      </c>
      <c r="E16" s="115" t="s">
        <v>808</v>
      </c>
      <c r="F16" s="115" t="s">
        <v>552</v>
      </c>
      <c r="G16" s="56"/>
      <c r="H16" s="56"/>
      <c r="I16" s="56"/>
      <c r="J16" s="56"/>
      <c r="K16" s="56"/>
      <c r="L16" s="56"/>
      <c r="M16" s="56"/>
      <c r="N16" s="56"/>
    </row>
    <row r="17" spans="1:14" ht="15" customHeight="1">
      <c r="A17" s="56" t="s">
        <v>200</v>
      </c>
      <c r="B17" s="113">
        <f>SUMIFS(Model_Data!$R:$R,Model_Data!$A:$A,"&gt;=2020-09",Model_Data!$A:$A,"&lt;=2020-12")/4</f>
        <v>2800</v>
      </c>
      <c r="C17" s="113">
        <f>B17*12</f>
        <v>33600</v>
      </c>
      <c r="D17" s="222">
        <v>53400</v>
      </c>
      <c r="E17" s="56" t="s">
        <v>476</v>
      </c>
      <c r="F17" s="56" t="s">
        <v>495</v>
      </c>
      <c r="G17" s="56"/>
      <c r="H17" s="56"/>
      <c r="I17" s="56"/>
      <c r="J17" s="56"/>
      <c r="K17" s="56"/>
      <c r="L17" s="56"/>
      <c r="M17" s="56"/>
      <c r="N17" s="56"/>
    </row>
    <row r="18" spans="1:14" ht="15" customHeight="1">
      <c r="A18" s="56" t="s">
        <v>198</v>
      </c>
      <c r="B18" s="113">
        <f>SUMIFS(Model_Data!$Q:$Q,Model_Data!$A:$A,"&gt;=2020-09",Model_Data!$A:$A,"&lt;=2020-12")/4</f>
        <v>1382.5</v>
      </c>
      <c r="C18" s="113">
        <f>B18*12</f>
        <v>16590</v>
      </c>
      <c r="D18" s="222">
        <v>19000</v>
      </c>
      <c r="E18" s="56" t="s">
        <v>809</v>
      </c>
      <c r="F18" s="56" t="s">
        <v>495</v>
      </c>
      <c r="G18" s="56"/>
      <c r="H18" s="56"/>
      <c r="I18" s="56"/>
      <c r="J18" s="56"/>
      <c r="K18" s="56"/>
      <c r="L18" s="56"/>
      <c r="M18" s="56"/>
      <c r="N18" s="56"/>
    </row>
    <row r="19" spans="1:14" ht="15" customHeight="1">
      <c r="A19" s="56" t="s">
        <v>202</v>
      </c>
      <c r="B19" s="113">
        <f>SUMIFS(Model_Data!$S:$S,Model_Data!$A:$A,"&gt;=2020-09",Model_Data!$A:$A,"&lt;=2020-12")/4</f>
        <v>135.95499999999998</v>
      </c>
      <c r="C19" s="113">
        <f>B19*12</f>
        <v>1631.4599999999998</v>
      </c>
      <c r="D19" s="222">
        <v>5400</v>
      </c>
      <c r="E19" s="56" t="s">
        <v>810</v>
      </c>
      <c r="F19" s="56" t="s">
        <v>495</v>
      </c>
      <c r="G19" s="56"/>
      <c r="H19" s="56"/>
      <c r="I19" s="56"/>
      <c r="J19" s="56"/>
      <c r="K19" s="56"/>
      <c r="L19" s="56"/>
      <c r="M19" s="56"/>
      <c r="N19" s="56"/>
    </row>
    <row r="20" spans="1:14" ht="15" customHeight="1">
      <c r="A20" s="56" t="s">
        <v>150</v>
      </c>
      <c r="B20" s="113">
        <f>SUMIFS(Model_Data!$T:$T,Model_Data!$A:$A,"&gt;=2020-09",Model_Data!$A:$A,"&lt;=2020-12")/4</f>
        <v>390.94</v>
      </c>
      <c r="C20" s="113">
        <f>B20*12</f>
        <v>4691.28</v>
      </c>
      <c r="D20" s="222">
        <v>3600</v>
      </c>
      <c r="E20" s="56" t="s">
        <v>811</v>
      </c>
      <c r="F20" s="56" t="s">
        <v>495</v>
      </c>
      <c r="G20" s="56"/>
      <c r="H20" s="56"/>
      <c r="I20" s="56"/>
      <c r="J20" s="56"/>
      <c r="K20" s="56"/>
      <c r="L20" s="56"/>
      <c r="M20" s="56"/>
      <c r="N20" s="56"/>
    </row>
    <row r="21" spans="1:14" ht="15" customHeight="1">
      <c r="A21" s="56" t="s">
        <v>352</v>
      </c>
      <c r="B21" s="113">
        <f>SUMIFS(Model_Data!$U:$U,Model_Data!$A:$A,"&gt;=2020-09",Model_Data!$A:$A,"&lt;=2020-12")/4</f>
        <v>31.125</v>
      </c>
      <c r="C21" s="113">
        <f>B21*12</f>
        <v>373.5</v>
      </c>
      <c r="D21" s="222">
        <v>1100</v>
      </c>
      <c r="E21" s="56" t="s">
        <v>812</v>
      </c>
      <c r="F21" s="56" t="s">
        <v>495</v>
      </c>
      <c r="G21" s="56"/>
      <c r="H21" s="56"/>
      <c r="I21" s="56"/>
      <c r="J21" s="56"/>
      <c r="K21" s="56"/>
      <c r="L21" s="56"/>
      <c r="M21" s="56"/>
      <c r="N21" s="56"/>
    </row>
    <row r="22" spans="1:14" ht="15" customHeight="1">
      <c r="A22" s="56" t="s">
        <v>448</v>
      </c>
      <c r="B22" s="113">
        <f>(SUMIFS(Model_Data!$X:$X,Model_Data!$A:$A,"&gt;=2020-09",Model_Data!$A:$A,"&lt;=2020-12")+SUMIFS(Model_Data!$Y:$Y,Model_Data!$A:$A,"&gt;=2020-09",Model_Data!$A:$A,"&lt;=2020-12"))/4</f>
        <v>203.64500000000001</v>
      </c>
      <c r="C22" s="113">
        <f>B22*12</f>
        <v>2443.7400000000002</v>
      </c>
      <c r="D22" s="222">
        <v>1350</v>
      </c>
      <c r="E22" s="56" t="s">
        <v>813</v>
      </c>
      <c r="F22" s="56" t="s">
        <v>495</v>
      </c>
      <c r="G22" s="56"/>
      <c r="H22" s="56"/>
      <c r="I22" s="56"/>
      <c r="J22" s="56"/>
      <c r="K22" s="56"/>
      <c r="L22" s="56"/>
      <c r="M22" s="56"/>
      <c r="N22" s="56"/>
    </row>
    <row r="23" spans="1:14" ht="15" customHeight="1">
      <c r="A23" s="56" t="s">
        <v>354</v>
      </c>
      <c r="B23" s="113">
        <f>(SUMIFS(Model_Data!$V:$V,Model_Data!$A:$A,"&gt;=2020-09",Model_Data!$A:$A,"&lt;=2020-12")+SUMIFS(Model_Data!$W:$W,Model_Data!$A:$A,"&gt;=2020-09",Model_Data!$A:$A,"&lt;=2020-12"))/4</f>
        <v>0</v>
      </c>
      <c r="C23" s="113">
        <f>B23*12</f>
        <v>0</v>
      </c>
      <c r="D23" s="222">
        <v>900</v>
      </c>
      <c r="E23" s="56" t="s">
        <v>814</v>
      </c>
      <c r="F23" s="56" t="s">
        <v>495</v>
      </c>
      <c r="G23" s="56"/>
      <c r="H23" s="56"/>
      <c r="I23" s="56"/>
      <c r="J23" s="56"/>
      <c r="K23" s="56"/>
      <c r="L23" s="56"/>
      <c r="M23" s="56"/>
      <c r="N23" s="56"/>
    </row>
    <row r="24" spans="1:14" ht="15" customHeight="1">
      <c r="A24" s="56" t="s">
        <v>356</v>
      </c>
      <c r="B24" s="113">
        <f>SUMIFS(Model_Data!$Z:$Z,Model_Data!$A:$A,"&gt;=2020-09",Model_Data!$A:$A,"&lt;=2020-12")/4</f>
        <v>599.37249999999995</v>
      </c>
      <c r="C24" s="113">
        <f>B24*12</f>
        <v>7192.4699999999993</v>
      </c>
      <c r="D24" s="222">
        <v>900</v>
      </c>
      <c r="E24" s="56" t="s">
        <v>815</v>
      </c>
      <c r="F24" s="56" t="s">
        <v>495</v>
      </c>
      <c r="G24" s="56"/>
      <c r="H24" s="56"/>
      <c r="I24" s="56"/>
      <c r="J24" s="56"/>
      <c r="K24" s="56"/>
      <c r="L24" s="56"/>
      <c r="M24" s="56"/>
      <c r="N24" s="56"/>
    </row>
    <row r="25" spans="1:14" ht="15" customHeight="1">
      <c r="A25" s="56" t="s">
        <v>357</v>
      </c>
      <c r="B25" s="113">
        <f>SUMIFS(Model_Data!$AA:$AA,Model_Data!$A:$A,"&gt;=2020-09",Model_Data!$A:$A,"&lt;=2020-12")/4</f>
        <v>198.095</v>
      </c>
      <c r="C25" s="113">
        <f>B25*12</f>
        <v>2377.14</v>
      </c>
      <c r="D25" s="222">
        <v>2400</v>
      </c>
      <c r="E25" s="56" t="s">
        <v>816</v>
      </c>
      <c r="F25" s="56" t="s">
        <v>495</v>
      </c>
      <c r="G25" s="56"/>
      <c r="H25" s="56"/>
      <c r="I25" s="56"/>
      <c r="J25" s="56"/>
      <c r="K25" s="56"/>
      <c r="L25" s="56"/>
      <c r="M25" s="56"/>
      <c r="N25" s="56"/>
    </row>
    <row r="26" spans="1:14" ht="15" customHeight="1">
      <c r="A26" s="115" t="s">
        <v>193</v>
      </c>
      <c r="B26" s="116">
        <f>B9-B16</f>
        <v>3113.0550000000003</v>
      </c>
      <c r="C26" s="116">
        <f>C9-C16</f>
        <v>37356.660000000003</v>
      </c>
      <c r="D26" s="116">
        <f>D9-D16</f>
        <v>29650</v>
      </c>
      <c r="E26" s="115" t="s">
        <v>817</v>
      </c>
      <c r="F26" s="115" t="s">
        <v>552</v>
      </c>
      <c r="G26" s="56"/>
      <c r="H26" s="56"/>
      <c r="I26" s="56"/>
      <c r="J26" s="56"/>
      <c r="K26" s="56"/>
      <c r="L26" s="56"/>
      <c r="M26" s="56"/>
      <c r="N26" s="56"/>
    </row>
    <row r="27" spans="1:14" ht="15" customHeight="1">
      <c r="A27" s="56"/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</row>
    <row r="28" spans="1:14" ht="15" customHeight="1">
      <c r="A28" s="56"/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</row>
    <row r="29" spans="1:14" ht="15" customHeight="1">
      <c r="A29" s="299" t="s">
        <v>818</v>
      </c>
      <c r="B29" s="299"/>
      <c r="C29" s="299"/>
      <c r="D29" s="299"/>
      <c r="E29" s="299"/>
      <c r="F29" s="299"/>
      <c r="G29" s="299"/>
      <c r="H29" s="299"/>
      <c r="I29" s="299"/>
      <c r="J29" s="299"/>
      <c r="K29" s="299"/>
      <c r="L29" s="299"/>
      <c r="M29" s="299"/>
      <c r="N29" s="299"/>
    </row>
    <row r="30" spans="1:14" ht="15" customHeight="1">
      <c r="A30" s="112" t="s">
        <v>414</v>
      </c>
      <c r="B30" s="112" t="s">
        <v>247</v>
      </c>
      <c r="C30" s="112" t="s">
        <v>248</v>
      </c>
      <c r="D30" s="112" t="s">
        <v>249</v>
      </c>
      <c r="E30" s="112" t="s">
        <v>255</v>
      </c>
      <c r="F30" s="112" t="s">
        <v>256</v>
      </c>
      <c r="G30" s="112" t="s">
        <v>250</v>
      </c>
      <c r="H30" s="112" t="s">
        <v>251</v>
      </c>
      <c r="I30" s="112" t="s">
        <v>252</v>
      </c>
      <c r="J30" s="112" t="s">
        <v>253</v>
      </c>
      <c r="K30" s="112" t="s">
        <v>254</v>
      </c>
      <c r="L30" s="112" t="s">
        <v>245</v>
      </c>
      <c r="M30" s="112" t="s">
        <v>246</v>
      </c>
      <c r="N30" s="112" t="s">
        <v>819</v>
      </c>
    </row>
    <row r="31" spans="1:14" ht="15" customHeight="1">
      <c r="A31" s="56" t="s">
        <v>820</v>
      </c>
      <c r="B31" s="223">
        <v>0.06</v>
      </c>
      <c r="C31" s="223">
        <v>6.5000000000000002E-2</v>
      </c>
      <c r="D31" s="223">
        <v>8.5000000000000006E-2</v>
      </c>
      <c r="E31" s="223">
        <v>0.09</v>
      </c>
      <c r="F31" s="223">
        <v>0.09</v>
      </c>
      <c r="G31" s="223">
        <v>7.4999999999999997E-2</v>
      </c>
      <c r="H31" s="223">
        <v>7.0000000000000007E-2</v>
      </c>
      <c r="I31" s="223">
        <v>7.0000000000000007E-2</v>
      </c>
      <c r="J31" s="223">
        <v>9.5000000000000001E-2</v>
      </c>
      <c r="K31" s="223">
        <v>9.5000000000000001E-2</v>
      </c>
      <c r="L31" s="223">
        <v>0.1</v>
      </c>
      <c r="M31" s="223">
        <v>0.105</v>
      </c>
      <c r="N31" s="224">
        <f>SUM(B31:M31)</f>
        <v>0.99999999999999989</v>
      </c>
    </row>
    <row r="32" spans="1:14" ht="15" customHeight="1">
      <c r="A32" s="56" t="s">
        <v>821</v>
      </c>
      <c r="B32" s="223">
        <v>0</v>
      </c>
      <c r="C32" s="223">
        <v>0</v>
      </c>
      <c r="D32" s="223">
        <v>0</v>
      </c>
      <c r="E32" s="223">
        <v>0.08</v>
      </c>
      <c r="F32" s="223">
        <v>0.08</v>
      </c>
      <c r="G32" s="223">
        <v>0.08</v>
      </c>
      <c r="H32" s="223">
        <v>0.06</v>
      </c>
      <c r="I32" s="223">
        <v>0.06</v>
      </c>
      <c r="J32" s="223">
        <v>0.12</v>
      </c>
      <c r="K32" s="223">
        <v>0.14000000000000001</v>
      </c>
      <c r="L32" s="223">
        <v>0.18</v>
      </c>
      <c r="M32" s="223">
        <v>0.2</v>
      </c>
      <c r="N32" s="224">
        <f>SUM(B32:M32)</f>
        <v>1</v>
      </c>
    </row>
    <row r="33" spans="1:14" ht="15" customHeight="1">
      <c r="A33" s="56" t="s">
        <v>822</v>
      </c>
      <c r="B33" s="222">
        <v>2800</v>
      </c>
      <c r="C33" s="222">
        <v>3850</v>
      </c>
      <c r="D33" s="222">
        <v>4675</v>
      </c>
      <c r="E33" s="222">
        <v>4675</v>
      </c>
      <c r="F33" s="222">
        <v>4675</v>
      </c>
      <c r="G33" s="222">
        <v>4675</v>
      </c>
      <c r="H33" s="222">
        <v>4675</v>
      </c>
      <c r="I33" s="222">
        <v>4675</v>
      </c>
      <c r="J33" s="222">
        <v>4675</v>
      </c>
      <c r="K33" s="222">
        <v>4675</v>
      </c>
      <c r="L33" s="222">
        <v>4675</v>
      </c>
      <c r="M33" s="222">
        <v>4675</v>
      </c>
      <c r="N33" s="113">
        <f>SUM(B33:M33)</f>
        <v>53400</v>
      </c>
    </row>
    <row r="34" spans="1:14" ht="15" customHeight="1">
      <c r="A34" s="56" t="s">
        <v>823</v>
      </c>
      <c r="B34" s="222">
        <v>300</v>
      </c>
      <c r="C34" s="222">
        <v>350</v>
      </c>
      <c r="D34" s="222">
        <v>475</v>
      </c>
      <c r="E34" s="222">
        <v>475</v>
      </c>
      <c r="F34" s="222">
        <v>475</v>
      </c>
      <c r="G34" s="222">
        <v>475</v>
      </c>
      <c r="H34" s="222">
        <v>475</v>
      </c>
      <c r="I34" s="222">
        <v>475</v>
      </c>
      <c r="J34" s="222">
        <v>475</v>
      </c>
      <c r="K34" s="222">
        <v>475</v>
      </c>
      <c r="L34" s="222">
        <v>475</v>
      </c>
      <c r="M34" s="222">
        <v>475</v>
      </c>
      <c r="N34" s="113">
        <f>SUM(B34:M34)</f>
        <v>5400</v>
      </c>
    </row>
    <row r="35" spans="1:14" ht="15" customHeight="1">
      <c r="A35" s="56" t="s">
        <v>824</v>
      </c>
      <c r="B35" s="222">
        <v>250</v>
      </c>
      <c r="C35" s="222">
        <v>250</v>
      </c>
      <c r="D35" s="222">
        <v>350</v>
      </c>
      <c r="E35" s="222">
        <v>350</v>
      </c>
      <c r="F35" s="222">
        <v>350</v>
      </c>
      <c r="G35" s="222">
        <v>200</v>
      </c>
      <c r="H35" s="222">
        <v>200</v>
      </c>
      <c r="I35" s="222">
        <v>250</v>
      </c>
      <c r="J35" s="222">
        <v>400</v>
      </c>
      <c r="K35" s="222">
        <v>400</v>
      </c>
      <c r="L35" s="222">
        <v>300</v>
      </c>
      <c r="M35" s="222">
        <v>300</v>
      </c>
      <c r="N35" s="113">
        <f>SUM(B35:M35)</f>
        <v>3600</v>
      </c>
    </row>
    <row r="36" spans="1:14" ht="15" customHeight="1">
      <c r="A36" s="56"/>
      <c r="B36" s="56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</row>
    <row r="37" spans="1:14" ht="15" customHeight="1">
      <c r="A37" s="56"/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</row>
    <row r="38" spans="1:14" ht="15" customHeight="1">
      <c r="A38" s="299" t="s">
        <v>825</v>
      </c>
      <c r="B38" s="299"/>
      <c r="C38" s="299"/>
      <c r="D38" s="299"/>
      <c r="E38" s="299"/>
      <c r="F38" s="299"/>
      <c r="G38" s="299"/>
      <c r="H38" s="299"/>
      <c r="I38" s="299"/>
      <c r="J38" s="299"/>
      <c r="K38" s="299"/>
      <c r="L38" s="299"/>
      <c r="M38" s="299"/>
      <c r="N38" s="299"/>
    </row>
    <row r="39" spans="1:14" ht="15" customHeight="1">
      <c r="A39" s="112" t="s">
        <v>138</v>
      </c>
      <c r="B39" s="112" t="s">
        <v>247</v>
      </c>
      <c r="C39" s="112" t="s">
        <v>248</v>
      </c>
      <c r="D39" s="112" t="s">
        <v>249</v>
      </c>
      <c r="E39" s="112" t="s">
        <v>255</v>
      </c>
      <c r="F39" s="112" t="s">
        <v>256</v>
      </c>
      <c r="G39" s="112" t="s">
        <v>250</v>
      </c>
      <c r="H39" s="112" t="s">
        <v>251</v>
      </c>
      <c r="I39" s="112" t="s">
        <v>252</v>
      </c>
      <c r="J39" s="112" t="s">
        <v>253</v>
      </c>
      <c r="K39" s="112" t="s">
        <v>254</v>
      </c>
      <c r="L39" s="112" t="s">
        <v>245</v>
      </c>
      <c r="M39" s="112" t="s">
        <v>246</v>
      </c>
      <c r="N39" s="112" t="s">
        <v>420</v>
      </c>
    </row>
    <row r="40" spans="1:14" ht="15" customHeight="1">
      <c r="A40" s="56" t="s">
        <v>429</v>
      </c>
      <c r="B40" s="113">
        <f>$D$10*B$31</f>
        <v>3600</v>
      </c>
      <c r="C40" s="113">
        <f>$D$10*C$31</f>
        <v>3900</v>
      </c>
      <c r="D40" s="113">
        <f>$D$10*D$31</f>
        <v>5100</v>
      </c>
      <c r="E40" s="113">
        <f>$D$10*E$31</f>
        <v>5400</v>
      </c>
      <c r="F40" s="113">
        <f>$D$10*F$31</f>
        <v>5400</v>
      </c>
      <c r="G40" s="113">
        <f>$D$10*G$31</f>
        <v>4500</v>
      </c>
      <c r="H40" s="113">
        <f>$D$10*H$31</f>
        <v>4200</v>
      </c>
      <c r="I40" s="113">
        <f>$D$10*I$31</f>
        <v>4200</v>
      </c>
      <c r="J40" s="113">
        <f>$D$10*J$31</f>
        <v>5700</v>
      </c>
      <c r="K40" s="113">
        <f>$D$10*K$31</f>
        <v>5700</v>
      </c>
      <c r="L40" s="113">
        <f>$D$10*L$31</f>
        <v>6000</v>
      </c>
      <c r="M40" s="113">
        <f>$D$10*M$31</f>
        <v>6300</v>
      </c>
      <c r="N40" s="113">
        <f>SUM(B40:M40)</f>
        <v>60000</v>
      </c>
    </row>
    <row r="41" spans="1:14" ht="15" customHeight="1">
      <c r="A41" s="56" t="s">
        <v>431</v>
      </c>
      <c r="B41" s="113">
        <f>$D$11*B$31</f>
        <v>1152</v>
      </c>
      <c r="C41" s="113">
        <f>$D$11*C$31</f>
        <v>1248</v>
      </c>
      <c r="D41" s="113">
        <f>$D$11*D$31</f>
        <v>1632.0000000000002</v>
      </c>
      <c r="E41" s="113">
        <f>$D$11*E$31</f>
        <v>1728</v>
      </c>
      <c r="F41" s="113">
        <f>$D$11*F$31</f>
        <v>1728</v>
      </c>
      <c r="G41" s="113">
        <f>$D$11*G$31</f>
        <v>1440</v>
      </c>
      <c r="H41" s="113">
        <f>$D$11*H$31</f>
        <v>1344.0000000000002</v>
      </c>
      <c r="I41" s="113">
        <f>$D$11*I$31</f>
        <v>1344.0000000000002</v>
      </c>
      <c r="J41" s="113">
        <f>$D$11*J$31</f>
        <v>1824</v>
      </c>
      <c r="K41" s="113">
        <f>$D$11*K$31</f>
        <v>1824</v>
      </c>
      <c r="L41" s="113">
        <f>$D$11*L$31</f>
        <v>1920</v>
      </c>
      <c r="M41" s="113">
        <f>$D$11*M$31</f>
        <v>2016</v>
      </c>
      <c r="N41" s="113">
        <f>SUM(B41:M41)</f>
        <v>19200</v>
      </c>
    </row>
    <row r="42" spans="1:14" ht="15" customHeight="1">
      <c r="A42" s="56" t="s">
        <v>433</v>
      </c>
      <c r="B42" s="113">
        <f>$D$12*B$31</f>
        <v>1728</v>
      </c>
      <c r="C42" s="113">
        <f>$D$12*C$31</f>
        <v>1872</v>
      </c>
      <c r="D42" s="113">
        <f>$D$12*D$31</f>
        <v>2448</v>
      </c>
      <c r="E42" s="113">
        <f>$D$12*E$31</f>
        <v>2592</v>
      </c>
      <c r="F42" s="113">
        <f>$D$12*F$31</f>
        <v>2592</v>
      </c>
      <c r="G42" s="113">
        <f>$D$12*G$31</f>
        <v>2160</v>
      </c>
      <c r="H42" s="113">
        <f>$D$12*H$31</f>
        <v>2016.0000000000002</v>
      </c>
      <c r="I42" s="113">
        <f>$D$12*I$31</f>
        <v>2016.0000000000002</v>
      </c>
      <c r="J42" s="113">
        <f>$D$12*J$31</f>
        <v>2736</v>
      </c>
      <c r="K42" s="113">
        <f>$D$12*K$31</f>
        <v>2736</v>
      </c>
      <c r="L42" s="113">
        <f>$D$12*L$31</f>
        <v>2880</v>
      </c>
      <c r="M42" s="113">
        <f>$D$12*M$31</f>
        <v>3024</v>
      </c>
      <c r="N42" s="113">
        <f>SUM(B42:M42)</f>
        <v>28800</v>
      </c>
    </row>
    <row r="43" spans="1:14" ht="15" customHeight="1">
      <c r="A43" s="56" t="s">
        <v>435</v>
      </c>
      <c r="B43" s="113">
        <f>$D$13*B$32</f>
        <v>0</v>
      </c>
      <c r="C43" s="113">
        <f>$D$13*C$32</f>
        <v>0</v>
      </c>
      <c r="D43" s="113">
        <f>$D$13*D$32</f>
        <v>0</v>
      </c>
      <c r="E43" s="113">
        <f>$D$13*E$32</f>
        <v>400</v>
      </c>
      <c r="F43" s="113">
        <f>$D$13*F$32</f>
        <v>400</v>
      </c>
      <c r="G43" s="113">
        <f>$D$13*G$32</f>
        <v>400</v>
      </c>
      <c r="H43" s="113">
        <f>$D$13*H$32</f>
        <v>300</v>
      </c>
      <c r="I43" s="113">
        <f>$D$13*I$32</f>
        <v>300</v>
      </c>
      <c r="J43" s="113">
        <f>$D$13*J$32</f>
        <v>600</v>
      </c>
      <c r="K43" s="113">
        <f>$D$13*K$32</f>
        <v>700.00000000000011</v>
      </c>
      <c r="L43" s="113">
        <f>$D$13*L$32</f>
        <v>900</v>
      </c>
      <c r="M43" s="113">
        <f>$D$13*M$32</f>
        <v>1000</v>
      </c>
      <c r="N43" s="113">
        <f>SUM(B43:M43)</f>
        <v>5000</v>
      </c>
    </row>
    <row r="44" spans="1:14" ht="15" customHeight="1">
      <c r="A44" s="56" t="s">
        <v>437</v>
      </c>
      <c r="B44" s="113">
        <f>$D$14*B$31</f>
        <v>192</v>
      </c>
      <c r="C44" s="113">
        <f>$D$14*C$31</f>
        <v>208</v>
      </c>
      <c r="D44" s="113">
        <f>$D$14*D$31</f>
        <v>272</v>
      </c>
      <c r="E44" s="113">
        <f>$D$14*E$31</f>
        <v>288</v>
      </c>
      <c r="F44" s="113">
        <f>$D$14*F$31</f>
        <v>288</v>
      </c>
      <c r="G44" s="113">
        <f>$D$14*G$31</f>
        <v>240</v>
      </c>
      <c r="H44" s="113">
        <f>$D$14*H$31</f>
        <v>224.00000000000003</v>
      </c>
      <c r="I44" s="113">
        <f>$D$14*I$31</f>
        <v>224.00000000000003</v>
      </c>
      <c r="J44" s="113">
        <f>$D$14*J$31</f>
        <v>304</v>
      </c>
      <c r="K44" s="113">
        <f>$D$14*K$31</f>
        <v>304</v>
      </c>
      <c r="L44" s="113">
        <f>$D$14*L$31</f>
        <v>320</v>
      </c>
      <c r="M44" s="113">
        <f>$D$14*M$31</f>
        <v>336</v>
      </c>
      <c r="N44" s="113">
        <f>SUM(B44:M44)</f>
        <v>3200</v>
      </c>
    </row>
    <row r="45" spans="1:14" ht="15" customHeight="1">
      <c r="A45" s="56" t="s">
        <v>439</v>
      </c>
      <c r="B45" s="113">
        <f>$D$15*B$31</f>
        <v>90</v>
      </c>
      <c r="C45" s="113">
        <f>$D$15*C$31</f>
        <v>97.5</v>
      </c>
      <c r="D45" s="113">
        <f>$D$15*D$31</f>
        <v>127.50000000000001</v>
      </c>
      <c r="E45" s="113">
        <f>$D$15*E$31</f>
        <v>135</v>
      </c>
      <c r="F45" s="113">
        <f>$D$15*F$31</f>
        <v>135</v>
      </c>
      <c r="G45" s="113">
        <f>$D$15*G$31</f>
        <v>112.5</v>
      </c>
      <c r="H45" s="113">
        <f>$D$15*H$31</f>
        <v>105.00000000000001</v>
      </c>
      <c r="I45" s="113">
        <f>$D$15*I$31</f>
        <v>105.00000000000001</v>
      </c>
      <c r="J45" s="113">
        <f>$D$15*J$31</f>
        <v>142.5</v>
      </c>
      <c r="K45" s="113">
        <f>$D$15*K$31</f>
        <v>142.5</v>
      </c>
      <c r="L45" s="113">
        <f>$D$15*L$31</f>
        <v>150</v>
      </c>
      <c r="M45" s="113">
        <f>$D$15*M$31</f>
        <v>157.5</v>
      </c>
      <c r="N45" s="113">
        <f>SUM(B45:M45)</f>
        <v>1500</v>
      </c>
    </row>
    <row r="46" spans="1:14" ht="15" customHeight="1">
      <c r="A46" s="115" t="s">
        <v>427</v>
      </c>
      <c r="B46" s="116">
        <f>SUM(B40:B45)</f>
        <v>6762</v>
      </c>
      <c r="C46" s="116">
        <f>SUM(C40:C45)</f>
        <v>7325.5</v>
      </c>
      <c r="D46" s="116">
        <f>SUM(D40:D45)</f>
        <v>9579.5</v>
      </c>
      <c r="E46" s="116">
        <f>SUM(E40:E45)</f>
        <v>10543</v>
      </c>
      <c r="F46" s="116">
        <f>SUM(F40:F45)</f>
        <v>10543</v>
      </c>
      <c r="G46" s="116">
        <f>SUM(G40:G45)</f>
        <v>8852.5</v>
      </c>
      <c r="H46" s="116">
        <f>SUM(H40:H45)</f>
        <v>8189</v>
      </c>
      <c r="I46" s="116">
        <f>SUM(I40:I45)</f>
        <v>8189</v>
      </c>
      <c r="J46" s="116">
        <f>SUM(J40:J45)</f>
        <v>11306.5</v>
      </c>
      <c r="K46" s="116">
        <f>SUM(K40:K45)</f>
        <v>11406.5</v>
      </c>
      <c r="L46" s="116">
        <f>SUM(L40:L45)</f>
        <v>12170</v>
      </c>
      <c r="M46" s="116">
        <f>SUM(M40:M45)</f>
        <v>12833.5</v>
      </c>
      <c r="N46" s="116">
        <f>SUM(B46:M46)</f>
        <v>117700</v>
      </c>
    </row>
    <row r="47" spans="1:14" ht="15" customHeight="1">
      <c r="A47" s="56"/>
      <c r="B47" s="113"/>
      <c r="C47" s="113"/>
      <c r="D47" s="113"/>
      <c r="E47" s="113"/>
      <c r="F47" s="113"/>
      <c r="G47" s="113"/>
      <c r="H47" s="113"/>
      <c r="I47" s="113"/>
      <c r="J47" s="113"/>
      <c r="K47" s="113"/>
      <c r="L47" s="113"/>
      <c r="M47" s="113"/>
      <c r="N47" s="113"/>
    </row>
    <row r="48" spans="1:14" ht="15" customHeight="1">
      <c r="A48" s="56" t="s">
        <v>198</v>
      </c>
      <c r="B48" s="113">
        <f>$D$18*B$31</f>
        <v>1140</v>
      </c>
      <c r="C48" s="113">
        <f>$D$18*C$31</f>
        <v>1235</v>
      </c>
      <c r="D48" s="113">
        <f>$D$18*D$31</f>
        <v>1615.0000000000002</v>
      </c>
      <c r="E48" s="113">
        <f>$D$18*E$31</f>
        <v>1710</v>
      </c>
      <c r="F48" s="113">
        <f>$D$18*F$31</f>
        <v>1710</v>
      </c>
      <c r="G48" s="113">
        <f>$D$18*G$31</f>
        <v>1425</v>
      </c>
      <c r="H48" s="113">
        <f>$D$18*H$31</f>
        <v>1330.0000000000002</v>
      </c>
      <c r="I48" s="113">
        <f>$D$18*I$31</f>
        <v>1330.0000000000002</v>
      </c>
      <c r="J48" s="113">
        <f>$D$18*J$31</f>
        <v>1805</v>
      </c>
      <c r="K48" s="113">
        <f>$D$18*K$31</f>
        <v>1805</v>
      </c>
      <c r="L48" s="113">
        <f>$D$18*L$31</f>
        <v>1900</v>
      </c>
      <c r="M48" s="113">
        <f>$D$18*M$31</f>
        <v>1995</v>
      </c>
      <c r="N48" s="113">
        <f>SUM(B48:M48)</f>
        <v>19000</v>
      </c>
    </row>
    <row r="49" spans="1:14" ht="15" customHeight="1">
      <c r="A49" s="56" t="s">
        <v>200</v>
      </c>
      <c r="B49" s="113">
        <f>B$33</f>
        <v>2800</v>
      </c>
      <c r="C49" s="113">
        <f>C$33</f>
        <v>3850</v>
      </c>
      <c r="D49" s="113">
        <f>D$33</f>
        <v>4675</v>
      </c>
      <c r="E49" s="113">
        <f>E$33</f>
        <v>4675</v>
      </c>
      <c r="F49" s="113">
        <f>F$33</f>
        <v>4675</v>
      </c>
      <c r="G49" s="113">
        <f>G$33</f>
        <v>4675</v>
      </c>
      <c r="H49" s="113">
        <f>H$33</f>
        <v>4675</v>
      </c>
      <c r="I49" s="113">
        <f>I$33</f>
        <v>4675</v>
      </c>
      <c r="J49" s="113">
        <f>J$33</f>
        <v>4675</v>
      </c>
      <c r="K49" s="113">
        <f>K$33</f>
        <v>4675</v>
      </c>
      <c r="L49" s="113">
        <f>L$33</f>
        <v>4675</v>
      </c>
      <c r="M49" s="113">
        <f>M$33</f>
        <v>4675</v>
      </c>
      <c r="N49" s="113">
        <f>SUM(B49:M49)</f>
        <v>53400</v>
      </c>
    </row>
    <row r="50" spans="1:14" ht="15" customHeight="1">
      <c r="A50" s="56" t="s">
        <v>202</v>
      </c>
      <c r="B50" s="113">
        <f>B$34</f>
        <v>300</v>
      </c>
      <c r="C50" s="113">
        <f>C$34</f>
        <v>350</v>
      </c>
      <c r="D50" s="113">
        <f>D$34</f>
        <v>475</v>
      </c>
      <c r="E50" s="113">
        <f>E$34</f>
        <v>475</v>
      </c>
      <c r="F50" s="113">
        <f>F$34</f>
        <v>475</v>
      </c>
      <c r="G50" s="113">
        <f>G$34</f>
        <v>475</v>
      </c>
      <c r="H50" s="113">
        <f>H$34</f>
        <v>475</v>
      </c>
      <c r="I50" s="113">
        <f>I$34</f>
        <v>475</v>
      </c>
      <c r="J50" s="113">
        <f>J$34</f>
        <v>475</v>
      </c>
      <c r="K50" s="113">
        <f>K$34</f>
        <v>475</v>
      </c>
      <c r="L50" s="113">
        <f>L$34</f>
        <v>475</v>
      </c>
      <c r="M50" s="113">
        <f>M$34</f>
        <v>475</v>
      </c>
      <c r="N50" s="113">
        <f>SUM(B50:M50)</f>
        <v>5400</v>
      </c>
    </row>
    <row r="51" spans="1:14" ht="15" customHeight="1">
      <c r="A51" s="56" t="s">
        <v>150</v>
      </c>
      <c r="B51" s="113">
        <f>B$35</f>
        <v>250</v>
      </c>
      <c r="C51" s="113">
        <f>C$35</f>
        <v>250</v>
      </c>
      <c r="D51" s="113">
        <f>D$35</f>
        <v>350</v>
      </c>
      <c r="E51" s="113">
        <f>E$35</f>
        <v>350</v>
      </c>
      <c r="F51" s="113">
        <f>F$35</f>
        <v>350</v>
      </c>
      <c r="G51" s="113">
        <f>G$35</f>
        <v>200</v>
      </c>
      <c r="H51" s="113">
        <f>H$35</f>
        <v>200</v>
      </c>
      <c r="I51" s="113">
        <f>I$35</f>
        <v>250</v>
      </c>
      <c r="J51" s="113">
        <f>J$35</f>
        <v>400</v>
      </c>
      <c r="K51" s="113">
        <f>K$35</f>
        <v>400</v>
      </c>
      <c r="L51" s="113">
        <f>L$35</f>
        <v>300</v>
      </c>
      <c r="M51" s="113">
        <f>M$35</f>
        <v>300</v>
      </c>
      <c r="N51" s="113">
        <f>SUM(B51:M51)</f>
        <v>3600</v>
      </c>
    </row>
    <row r="52" spans="1:14" ht="15" customHeight="1">
      <c r="A52" s="56" t="s">
        <v>352</v>
      </c>
      <c r="B52" s="113">
        <f>$D$21*B$31</f>
        <v>66</v>
      </c>
      <c r="C52" s="113">
        <f>$D$21*C$31</f>
        <v>71.5</v>
      </c>
      <c r="D52" s="113">
        <f>$D$21*D$31</f>
        <v>93.5</v>
      </c>
      <c r="E52" s="113">
        <f>$D$21*E$31</f>
        <v>99</v>
      </c>
      <c r="F52" s="113">
        <f>$D$21*F$31</f>
        <v>99</v>
      </c>
      <c r="G52" s="113">
        <f>$D$21*G$31</f>
        <v>82.5</v>
      </c>
      <c r="H52" s="113">
        <f>$D$21*H$31</f>
        <v>77.000000000000014</v>
      </c>
      <c r="I52" s="113">
        <f>$D$21*I$31</f>
        <v>77.000000000000014</v>
      </c>
      <c r="J52" s="113">
        <f>$D$21*J$31</f>
        <v>104.5</v>
      </c>
      <c r="K52" s="113">
        <f>$D$21*K$31</f>
        <v>104.5</v>
      </c>
      <c r="L52" s="113">
        <f>$D$21*L$31</f>
        <v>110</v>
      </c>
      <c r="M52" s="113">
        <f>$D$21*M$31</f>
        <v>115.5</v>
      </c>
      <c r="N52" s="113">
        <f>SUM(B52:M52)</f>
        <v>1100</v>
      </c>
    </row>
    <row r="53" spans="1:14" ht="15" customHeight="1">
      <c r="A53" s="56" t="s">
        <v>448</v>
      </c>
      <c r="B53" s="113">
        <f>$D$22*B$31</f>
        <v>81</v>
      </c>
      <c r="C53" s="113">
        <f>$D$22*C$31</f>
        <v>87.75</v>
      </c>
      <c r="D53" s="113">
        <f>$D$22*D$31</f>
        <v>114.75000000000001</v>
      </c>
      <c r="E53" s="113">
        <f>$D$22*E$31</f>
        <v>121.5</v>
      </c>
      <c r="F53" s="113">
        <f>$D$22*F$31</f>
        <v>121.5</v>
      </c>
      <c r="G53" s="113">
        <f>$D$22*G$31</f>
        <v>101.25</v>
      </c>
      <c r="H53" s="113">
        <f>$D$22*H$31</f>
        <v>94.500000000000014</v>
      </c>
      <c r="I53" s="113">
        <f>$D$22*I$31</f>
        <v>94.500000000000014</v>
      </c>
      <c r="J53" s="113">
        <f>$D$22*J$31</f>
        <v>128.25</v>
      </c>
      <c r="K53" s="113">
        <f>$D$22*K$31</f>
        <v>128.25</v>
      </c>
      <c r="L53" s="113">
        <f>$D$22*L$31</f>
        <v>135</v>
      </c>
      <c r="M53" s="113">
        <f>$D$22*M$31</f>
        <v>141.75</v>
      </c>
      <c r="N53" s="113">
        <f>SUM(B53:M53)</f>
        <v>1350</v>
      </c>
    </row>
    <row r="54" spans="1:14" ht="15" customHeight="1">
      <c r="A54" s="56" t="s">
        <v>354</v>
      </c>
      <c r="B54" s="113">
        <f>$D$23/12</f>
        <v>75</v>
      </c>
      <c r="C54" s="113">
        <f>$D$23/12</f>
        <v>75</v>
      </c>
      <c r="D54" s="113">
        <f>$D$23/12</f>
        <v>75</v>
      </c>
      <c r="E54" s="113">
        <f>$D$23/12</f>
        <v>75</v>
      </c>
      <c r="F54" s="113">
        <f>$D$23/12</f>
        <v>75</v>
      </c>
      <c r="G54" s="113">
        <f>$D$23/12</f>
        <v>75</v>
      </c>
      <c r="H54" s="113">
        <f>$D$23/12</f>
        <v>75</v>
      </c>
      <c r="I54" s="113">
        <f>$D$23/12</f>
        <v>75</v>
      </c>
      <c r="J54" s="113">
        <f>$D$23/12</f>
        <v>75</v>
      </c>
      <c r="K54" s="113">
        <f>$D$23/12</f>
        <v>75</v>
      </c>
      <c r="L54" s="113">
        <f>$D$23/12</f>
        <v>75</v>
      </c>
      <c r="M54" s="113">
        <f>$D$23/12</f>
        <v>75</v>
      </c>
      <c r="N54" s="113">
        <f>SUM(B54:M54)</f>
        <v>900</v>
      </c>
    </row>
    <row r="55" spans="1:14" ht="15" customHeight="1">
      <c r="A55" s="56" t="s">
        <v>356</v>
      </c>
      <c r="B55" s="113">
        <f>$D$24/12</f>
        <v>75</v>
      </c>
      <c r="C55" s="113">
        <f>$D$24/12</f>
        <v>75</v>
      </c>
      <c r="D55" s="113">
        <f>$D$24/12</f>
        <v>75</v>
      </c>
      <c r="E55" s="113">
        <f>$D$24/12</f>
        <v>75</v>
      </c>
      <c r="F55" s="113">
        <f>$D$24/12</f>
        <v>75</v>
      </c>
      <c r="G55" s="113">
        <f>$D$24/12</f>
        <v>75</v>
      </c>
      <c r="H55" s="113">
        <f>$D$24/12</f>
        <v>75</v>
      </c>
      <c r="I55" s="113">
        <f>$D$24/12</f>
        <v>75</v>
      </c>
      <c r="J55" s="113">
        <f>$D$24/12</f>
        <v>75</v>
      </c>
      <c r="K55" s="113">
        <f>$D$24/12</f>
        <v>75</v>
      </c>
      <c r="L55" s="113">
        <f>$D$24/12</f>
        <v>75</v>
      </c>
      <c r="M55" s="113">
        <f>$D$24/12</f>
        <v>75</v>
      </c>
      <c r="N55" s="113">
        <f>SUM(B55:M55)</f>
        <v>900</v>
      </c>
    </row>
    <row r="56" spans="1:14" ht="15" customHeight="1">
      <c r="A56" s="56" t="s">
        <v>357</v>
      </c>
      <c r="B56" s="113">
        <f>$D$25/12</f>
        <v>200</v>
      </c>
      <c r="C56" s="113">
        <f>$D$25/12</f>
        <v>200</v>
      </c>
      <c r="D56" s="113">
        <f>$D$25/12</f>
        <v>200</v>
      </c>
      <c r="E56" s="113">
        <f>$D$25/12</f>
        <v>200</v>
      </c>
      <c r="F56" s="113">
        <f>$D$25/12</f>
        <v>200</v>
      </c>
      <c r="G56" s="113">
        <f>$D$25/12</f>
        <v>200</v>
      </c>
      <c r="H56" s="113">
        <f>$D$25/12</f>
        <v>200</v>
      </c>
      <c r="I56" s="113">
        <f>$D$25/12</f>
        <v>200</v>
      </c>
      <c r="J56" s="113">
        <f>$D$25/12</f>
        <v>200</v>
      </c>
      <c r="K56" s="113">
        <f>$D$25/12</f>
        <v>200</v>
      </c>
      <c r="L56" s="113">
        <f>$D$25/12</f>
        <v>200</v>
      </c>
      <c r="M56" s="113">
        <f>$D$25/12</f>
        <v>200</v>
      </c>
      <c r="N56" s="113">
        <f>SUM(B56:M56)</f>
        <v>2400</v>
      </c>
    </row>
    <row r="57" spans="1:14" ht="15" customHeight="1">
      <c r="A57" s="115" t="s">
        <v>441</v>
      </c>
      <c r="B57" s="116">
        <f>SUM(B48:B56)</f>
        <v>4987</v>
      </c>
      <c r="C57" s="116">
        <f>SUM(C48:C56)</f>
        <v>6194.25</v>
      </c>
      <c r="D57" s="116">
        <f>SUM(D48:D56)</f>
        <v>7673.25</v>
      </c>
      <c r="E57" s="116">
        <f>SUM(E48:E56)</f>
        <v>7780.5</v>
      </c>
      <c r="F57" s="116">
        <f>SUM(F48:F56)</f>
        <v>7780.5</v>
      </c>
      <c r="G57" s="116">
        <f>SUM(G48:G56)</f>
        <v>7308.75</v>
      </c>
      <c r="H57" s="116">
        <f>SUM(H48:H56)</f>
        <v>7201.5</v>
      </c>
      <c r="I57" s="116">
        <f>SUM(I48:I56)</f>
        <v>7251.5</v>
      </c>
      <c r="J57" s="116">
        <f>SUM(J48:J56)</f>
        <v>7937.75</v>
      </c>
      <c r="K57" s="116">
        <f>SUM(K48:K56)</f>
        <v>7937.75</v>
      </c>
      <c r="L57" s="116">
        <f>SUM(L48:L56)</f>
        <v>7945</v>
      </c>
      <c r="M57" s="116">
        <f>SUM(M48:M56)</f>
        <v>8052.25</v>
      </c>
      <c r="N57" s="116">
        <f>SUM(B57:M57)</f>
        <v>88050</v>
      </c>
    </row>
    <row r="58" spans="1:14" ht="15" customHeight="1">
      <c r="A58" s="56"/>
      <c r="B58" s="113"/>
      <c r="C58" s="113"/>
      <c r="D58" s="113"/>
      <c r="E58" s="113"/>
      <c r="F58" s="113"/>
      <c r="G58" s="113"/>
      <c r="H58" s="113"/>
      <c r="I58" s="113"/>
      <c r="J58" s="113"/>
      <c r="K58" s="113"/>
      <c r="L58" s="113"/>
      <c r="M58" s="113"/>
      <c r="N58" s="113"/>
    </row>
    <row r="59" spans="1:14" ht="15" customHeight="1">
      <c r="A59" s="115" t="s">
        <v>193</v>
      </c>
      <c r="B59" s="116">
        <f>B46-B57</f>
        <v>1775</v>
      </c>
      <c r="C59" s="116">
        <f>C46-C57</f>
        <v>1131.25</v>
      </c>
      <c r="D59" s="116">
        <f>D46-D57</f>
        <v>1906.25</v>
      </c>
      <c r="E59" s="116">
        <f>E46-E57</f>
        <v>2762.5</v>
      </c>
      <c r="F59" s="116">
        <f>F46-F57</f>
        <v>2762.5</v>
      </c>
      <c r="G59" s="116">
        <f>G46-G57</f>
        <v>1543.75</v>
      </c>
      <c r="H59" s="116">
        <f>H46-H57</f>
        <v>987.5</v>
      </c>
      <c r="I59" s="116">
        <f>I46-I57</f>
        <v>937.5</v>
      </c>
      <c r="J59" s="116">
        <f>J46-J57</f>
        <v>3368.75</v>
      </c>
      <c r="K59" s="116">
        <f>K46-K57</f>
        <v>3468.75</v>
      </c>
      <c r="L59" s="116">
        <f>L46-L57</f>
        <v>4225</v>
      </c>
      <c r="M59" s="116">
        <f>M46-M57</f>
        <v>4781.25</v>
      </c>
      <c r="N59" s="116">
        <f>N46-N57</f>
        <v>29650</v>
      </c>
    </row>
    <row r="60" spans="1:14" ht="15" customHeight="1">
      <c r="A60" s="56"/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</row>
    <row r="61" spans="1:14" ht="15" customHeight="1">
      <c r="A61" s="56"/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</row>
    <row r="62" spans="1:14" ht="15" customHeight="1">
      <c r="A62" s="56"/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</row>
    <row r="63" spans="1:14" ht="15" customHeight="1">
      <c r="A63" s="56"/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</row>
    <row r="64" spans="1:14" ht="15" customHeight="1">
      <c r="A64" s="56"/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</row>
    <row r="65" spans="1:14" ht="15" customHeight="1">
      <c r="A65" s="56"/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</row>
    <row r="66" spans="1:14" ht="15" customHeight="1">
      <c r="A66" s="56"/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</row>
    <row r="67" spans="1:14" ht="15" customHeight="1">
      <c r="A67" s="56"/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</row>
    <row r="68" spans="1:14" ht="15" customHeight="1">
      <c r="A68" s="56"/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</row>
    <row r="69" spans="1:14" ht="15" customHeight="1">
      <c r="A69" s="56"/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</row>
    <row r="70" spans="1:14" ht="15" customHeight="1">
      <c r="A70" s="56"/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</row>
    <row r="71" spans="1:14" ht="15" customHeight="1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</row>
    <row r="72" spans="1:14" ht="15" customHeight="1">
      <c r="A72" s="56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</row>
    <row r="73" spans="1:14" ht="15" customHeight="1">
      <c r="A73" s="56"/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</row>
    <row r="74" spans="1:14" ht="15" customHeight="1">
      <c r="A74" s="56"/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</row>
    <row r="75" spans="1:14" ht="15" customHeight="1">
      <c r="A75" s="56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</row>
    <row r="76" spans="1:14" ht="15" customHeight="1">
      <c r="A76" s="56"/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</row>
    <row r="77" spans="1:14" ht="15" customHeight="1">
      <c r="A77" s="56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</row>
    <row r="78" spans="1:14" ht="15" customHeight="1">
      <c r="A78" s="56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</row>
    <row r="79" spans="1:14" ht="15" customHeight="1">
      <c r="A79" s="56"/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</row>
    <row r="80" spans="1:14" ht="15" customHeight="1">
      <c r="A80" s="56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</row>
  </sheetData>
  <mergeCells count="4">
    <mergeCell ref="A1:N1"/>
    <mergeCell ref="A2:N2"/>
    <mergeCell ref="A29:N29"/>
    <mergeCell ref="A38:N38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100"/>
  <sheetViews>
    <sheetView zoomScaleNormal="100" workbookViewId="0">
      <selection activeCell="H27" sqref="H27"/>
    </sheetView>
  </sheetViews>
  <sheetFormatPr defaultColWidth="8.7109375" defaultRowHeight="15"/>
  <cols>
    <col min="1" max="1" width="34" style="13" customWidth="1"/>
    <col min="2" max="6" width="15" style="13" customWidth="1"/>
  </cols>
  <sheetData>
    <row r="1" spans="1:26" ht="24" customHeight="1">
      <c r="A1" s="290" t="s">
        <v>826</v>
      </c>
      <c r="B1" s="290"/>
      <c r="C1" s="290"/>
      <c r="D1" s="290"/>
      <c r="E1" s="290"/>
      <c r="F1" s="290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5"/>
    </row>
    <row r="2" spans="1:26" ht="25.5" customHeight="1">
      <c r="A2" s="291" t="s">
        <v>827</v>
      </c>
      <c r="B2" s="291"/>
      <c r="C2" s="291"/>
      <c r="D2" s="291"/>
      <c r="E2" s="291"/>
      <c r="F2" s="291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</row>
    <row r="3" spans="1:26" ht="15" customHeight="1">
      <c r="A3" s="135"/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5"/>
    </row>
    <row r="4" spans="1:26" ht="15" customHeight="1">
      <c r="A4" s="137" t="s">
        <v>828</v>
      </c>
      <c r="B4" s="137" t="s">
        <v>559</v>
      </c>
      <c r="C4" s="137" t="s">
        <v>560</v>
      </c>
      <c r="D4" s="137" t="s">
        <v>561</v>
      </c>
      <c r="E4" s="137" t="s">
        <v>562</v>
      </c>
      <c r="F4" s="137" t="s">
        <v>257</v>
      </c>
      <c r="G4" s="135"/>
      <c r="H4" s="135"/>
      <c r="I4" s="135"/>
      <c r="J4" s="135"/>
      <c r="K4" s="135"/>
      <c r="L4" s="135"/>
      <c r="M4" s="135"/>
      <c r="N4" s="135"/>
      <c r="O4" s="135"/>
      <c r="P4" s="135"/>
      <c r="Q4" s="135"/>
      <c r="R4" s="135"/>
      <c r="S4" s="135"/>
      <c r="T4" s="135"/>
      <c r="U4" s="135"/>
      <c r="V4" s="135"/>
      <c r="W4" s="135"/>
      <c r="X4" s="135"/>
      <c r="Y4" s="135"/>
      <c r="Z4" s="135"/>
    </row>
    <row r="5" spans="1:26" ht="15" customHeight="1">
      <c r="A5" s="135" t="s">
        <v>829</v>
      </c>
      <c r="B5" s="138">
        <f>Annual_KPIs!B41</f>
        <v>0</v>
      </c>
      <c r="C5" s="138">
        <f>Annual_KPIs!C41</f>
        <v>568.75</v>
      </c>
      <c r="D5" s="138">
        <f>Annual_KPIs!D41</f>
        <v>926.25</v>
      </c>
      <c r="E5" s="138">
        <f>Annual_KPIs!E41</f>
        <v>156.25</v>
      </c>
      <c r="F5" s="138">
        <f>SUM(B5:E5)</f>
        <v>1651.25</v>
      </c>
      <c r="G5" s="135"/>
      <c r="H5" s="135"/>
      <c r="I5" s="135"/>
      <c r="J5" s="135"/>
      <c r="K5" s="135"/>
      <c r="L5" s="135"/>
      <c r="M5" s="135"/>
      <c r="N5" s="135"/>
      <c r="O5" s="135"/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35"/>
    </row>
    <row r="6" spans="1:26" ht="15" customHeight="1">
      <c r="A6" s="135" t="s">
        <v>830</v>
      </c>
      <c r="B6" s="138">
        <f>Annual_KPIs!B42</f>
        <v>0</v>
      </c>
      <c r="C6" s="138">
        <f>Annual_KPIs!C42</f>
        <v>371.55</v>
      </c>
      <c r="D6" s="138">
        <f>Annual_KPIs!D42</f>
        <v>605.12</v>
      </c>
      <c r="E6" s="138">
        <f>Annual_KPIs!E42</f>
        <v>102.08</v>
      </c>
      <c r="F6" s="138">
        <f>SUM(B6:E6)</f>
        <v>1078.75</v>
      </c>
      <c r="G6" s="135"/>
      <c r="H6" s="135"/>
      <c r="I6" s="135"/>
      <c r="J6" s="135"/>
      <c r="K6" s="135"/>
      <c r="L6" s="135"/>
      <c r="M6" s="135"/>
      <c r="N6" s="135"/>
      <c r="O6" s="135"/>
      <c r="P6" s="135"/>
      <c r="Q6" s="135"/>
      <c r="R6" s="135"/>
      <c r="S6" s="135"/>
      <c r="T6" s="135"/>
      <c r="U6" s="135"/>
      <c r="V6" s="135"/>
      <c r="W6" s="135"/>
      <c r="X6" s="135"/>
      <c r="Y6" s="135"/>
      <c r="Z6" s="135"/>
    </row>
    <row r="7" spans="1:26" ht="15" customHeight="1">
      <c r="A7" s="139" t="s">
        <v>831</v>
      </c>
      <c r="B7" s="140">
        <f>B5-B6</f>
        <v>0</v>
      </c>
      <c r="C7" s="140">
        <f>C5-C6</f>
        <v>197.2</v>
      </c>
      <c r="D7" s="140">
        <f>D5-D6</f>
        <v>321.13</v>
      </c>
      <c r="E7" s="140">
        <f>E5-E6</f>
        <v>54.17</v>
      </c>
      <c r="F7" s="140">
        <f>F5-F6</f>
        <v>572.5</v>
      </c>
      <c r="G7" s="135"/>
      <c r="H7" s="135"/>
      <c r="I7" s="135"/>
      <c r="J7" s="135"/>
      <c r="K7" s="135"/>
      <c r="L7" s="135"/>
      <c r="M7" s="135"/>
      <c r="N7" s="135"/>
      <c r="O7" s="135"/>
      <c r="P7" s="135"/>
      <c r="Q7" s="135"/>
      <c r="R7" s="135"/>
      <c r="S7" s="135"/>
      <c r="T7" s="135"/>
      <c r="U7" s="135"/>
      <c r="V7" s="135"/>
      <c r="W7" s="135"/>
      <c r="X7" s="135"/>
      <c r="Y7" s="135"/>
      <c r="Z7" s="135"/>
    </row>
    <row r="8" spans="1:26" ht="15" customHeight="1">
      <c r="A8" s="139" t="s">
        <v>832</v>
      </c>
      <c r="B8" s="141">
        <f>IFERROR(B7/B5,0)</f>
        <v>0</v>
      </c>
      <c r="C8" s="141">
        <f>IFERROR(C7/C5,0)</f>
        <v>0.3467252747252747</v>
      </c>
      <c r="D8" s="141">
        <f>IFERROR(D7/D5,0)</f>
        <v>0.34669905533063428</v>
      </c>
      <c r="E8" s="141">
        <f>IFERROR(E7/E5,0)</f>
        <v>0.346688</v>
      </c>
      <c r="F8" s="141">
        <f>IFERROR(F7/F5,0)</f>
        <v>0.34670704012112036</v>
      </c>
      <c r="G8" s="135"/>
      <c r="H8" s="135"/>
      <c r="I8" s="135"/>
      <c r="J8" s="135"/>
      <c r="K8" s="135"/>
      <c r="L8" s="135"/>
      <c r="M8" s="135"/>
      <c r="N8" s="135"/>
      <c r="O8" s="135"/>
      <c r="P8" s="135"/>
      <c r="Q8" s="135"/>
      <c r="R8" s="135"/>
      <c r="S8" s="135"/>
      <c r="T8" s="135"/>
      <c r="U8" s="135"/>
      <c r="V8" s="135"/>
      <c r="W8" s="135"/>
      <c r="X8" s="135"/>
      <c r="Y8" s="135"/>
      <c r="Z8" s="135"/>
    </row>
    <row r="9" spans="1:26" ht="15" customHeight="1">
      <c r="A9" s="135"/>
      <c r="B9" s="138"/>
      <c r="C9" s="138"/>
      <c r="D9" s="138"/>
      <c r="E9" s="138"/>
      <c r="F9" s="138"/>
      <c r="G9" s="135"/>
      <c r="H9" s="135"/>
      <c r="I9" s="135"/>
      <c r="J9" s="135"/>
      <c r="K9" s="135"/>
      <c r="L9" s="135"/>
      <c r="M9" s="135"/>
      <c r="N9" s="135"/>
      <c r="O9" s="135"/>
      <c r="P9" s="135"/>
      <c r="Q9" s="135"/>
      <c r="R9" s="135"/>
      <c r="S9" s="135"/>
      <c r="T9" s="135"/>
      <c r="U9" s="135"/>
      <c r="V9" s="135"/>
      <c r="W9" s="135"/>
      <c r="X9" s="135"/>
      <c r="Y9" s="135"/>
      <c r="Z9" s="135"/>
    </row>
    <row r="10" spans="1:26" ht="15" customHeight="1">
      <c r="A10" s="135" t="s">
        <v>833</v>
      </c>
      <c r="B10" s="138">
        <f>Annual_KPIs!B45</f>
        <v>0</v>
      </c>
      <c r="C10" s="138">
        <f>Annual_KPIs!C45</f>
        <v>2075</v>
      </c>
      <c r="D10" s="138">
        <f>Annual_KPIs!D45</f>
        <v>2068.75</v>
      </c>
      <c r="E10" s="138">
        <f>Annual_KPIs!E45</f>
        <v>425</v>
      </c>
      <c r="F10" s="138">
        <f>SUM(B10:E10)</f>
        <v>4568.75</v>
      </c>
      <c r="G10" s="135"/>
      <c r="H10" s="135"/>
      <c r="I10" s="135"/>
      <c r="J10" s="135"/>
      <c r="K10" s="135"/>
      <c r="L10" s="135"/>
      <c r="M10" s="135"/>
      <c r="N10" s="135"/>
      <c r="O10" s="135"/>
      <c r="P10" s="135"/>
      <c r="Q10" s="135"/>
      <c r="R10" s="135"/>
      <c r="S10" s="135"/>
      <c r="T10" s="135"/>
      <c r="U10" s="135"/>
      <c r="V10" s="135"/>
      <c r="W10" s="135"/>
      <c r="X10" s="135"/>
      <c r="Y10" s="135"/>
      <c r="Z10" s="135"/>
    </row>
    <row r="11" spans="1:26" ht="15" customHeight="1">
      <c r="A11" s="135" t="s">
        <v>834</v>
      </c>
      <c r="B11" s="138">
        <f>Annual_KPIs!B46</f>
        <v>0</v>
      </c>
      <c r="C11" s="138">
        <f>Annual_KPIs!C46</f>
        <v>1559.38</v>
      </c>
      <c r="D11" s="138">
        <f>Annual_KPIs!D46</f>
        <v>1275</v>
      </c>
      <c r="E11" s="138">
        <f>Annual_KPIs!E46</f>
        <v>300</v>
      </c>
      <c r="F11" s="138">
        <f>SUM(B11:E11)</f>
        <v>3134.38</v>
      </c>
      <c r="G11" s="135"/>
      <c r="H11" s="135"/>
      <c r="I11" s="135"/>
      <c r="J11" s="135"/>
      <c r="K11" s="135"/>
      <c r="L11" s="135"/>
      <c r="M11" s="135"/>
      <c r="N11" s="135"/>
      <c r="O11" s="135"/>
      <c r="P11" s="135"/>
      <c r="Q11" s="135"/>
      <c r="R11" s="135"/>
      <c r="S11" s="135"/>
      <c r="T11" s="135"/>
      <c r="U11" s="135"/>
      <c r="V11" s="135"/>
      <c r="W11" s="135"/>
      <c r="X11" s="135"/>
      <c r="Y11" s="135"/>
      <c r="Z11" s="135"/>
    </row>
    <row r="12" spans="1:26" ht="15" customHeight="1">
      <c r="A12" s="139" t="s">
        <v>835</v>
      </c>
      <c r="B12" s="140">
        <f>B10-B11</f>
        <v>0</v>
      </c>
      <c r="C12" s="140">
        <f>C10-C11</f>
        <v>515.61999999999989</v>
      </c>
      <c r="D12" s="140">
        <f>D10-D11</f>
        <v>793.75</v>
      </c>
      <c r="E12" s="140">
        <f>E10-E11</f>
        <v>125</v>
      </c>
      <c r="F12" s="140">
        <f>F10-F11</f>
        <v>1434.37</v>
      </c>
      <c r="G12" s="135"/>
      <c r="H12" s="135"/>
      <c r="I12" s="135"/>
      <c r="J12" s="135"/>
      <c r="K12" s="135"/>
      <c r="L12" s="135"/>
      <c r="M12" s="135"/>
      <c r="N12" s="135"/>
      <c r="O12" s="135"/>
      <c r="P12" s="135"/>
      <c r="Q12" s="135"/>
      <c r="R12" s="135"/>
      <c r="S12" s="135"/>
      <c r="T12" s="135"/>
      <c r="U12" s="135"/>
      <c r="V12" s="135"/>
      <c r="W12" s="135"/>
      <c r="X12" s="135"/>
      <c r="Y12" s="135"/>
      <c r="Z12" s="135"/>
    </row>
    <row r="13" spans="1:26" ht="15" customHeight="1">
      <c r="A13" s="139" t="s">
        <v>836</v>
      </c>
      <c r="B13" s="141">
        <f>IFERROR(B12/B10,0)</f>
        <v>0</v>
      </c>
      <c r="C13" s="141">
        <f>IFERROR(C12/C10,0)</f>
        <v>0.24849156626506019</v>
      </c>
      <c r="D13" s="141">
        <f>IFERROR(D12/D10,0)</f>
        <v>0.38368580060422963</v>
      </c>
      <c r="E13" s="141">
        <f>IFERROR(E12/E10,0)</f>
        <v>0.29411764705882354</v>
      </c>
      <c r="F13" s="141">
        <f>IFERROR(F12/F10,0)</f>
        <v>0.31395239398084812</v>
      </c>
      <c r="G13" s="135"/>
      <c r="H13" s="135"/>
      <c r="I13" s="135"/>
      <c r="J13" s="135"/>
      <c r="K13" s="135"/>
      <c r="L13" s="135"/>
      <c r="M13" s="135"/>
      <c r="N13" s="135"/>
      <c r="O13" s="135"/>
      <c r="P13" s="135"/>
      <c r="Q13" s="135"/>
      <c r="R13" s="135"/>
      <c r="S13" s="135"/>
      <c r="T13" s="135"/>
      <c r="U13" s="135"/>
      <c r="V13" s="135"/>
      <c r="W13" s="135"/>
      <c r="X13" s="135"/>
      <c r="Y13" s="135"/>
      <c r="Z13" s="135"/>
    </row>
    <row r="14" spans="1:26" ht="15" customHeight="1">
      <c r="A14" s="135"/>
      <c r="B14" s="138"/>
      <c r="C14" s="138"/>
      <c r="D14" s="138"/>
      <c r="E14" s="138"/>
      <c r="F14" s="138"/>
      <c r="G14" s="135"/>
      <c r="H14" s="135"/>
      <c r="I14" s="135"/>
      <c r="J14" s="135"/>
      <c r="K14" s="135"/>
      <c r="L14" s="135"/>
      <c r="M14" s="135"/>
      <c r="N14" s="135"/>
      <c r="O14" s="135"/>
      <c r="P14" s="135"/>
      <c r="Q14" s="135"/>
      <c r="R14" s="135"/>
      <c r="S14" s="135"/>
      <c r="T14" s="135"/>
      <c r="U14" s="135"/>
      <c r="V14" s="135"/>
      <c r="W14" s="135"/>
      <c r="X14" s="135"/>
      <c r="Y14" s="135"/>
      <c r="Z14" s="135"/>
    </row>
    <row r="15" spans="1:26" ht="15" customHeight="1">
      <c r="A15" s="139" t="s">
        <v>275</v>
      </c>
      <c r="B15" s="140">
        <f>B5+B10</f>
        <v>0</v>
      </c>
      <c r="C15" s="140">
        <f>C5+C10</f>
        <v>2643.75</v>
      </c>
      <c r="D15" s="140">
        <f>D5+D10</f>
        <v>2995</v>
      </c>
      <c r="E15" s="140">
        <f>E5+E10</f>
        <v>581.25</v>
      </c>
      <c r="F15" s="140">
        <f>SUM(B15:E15)</f>
        <v>6220</v>
      </c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5"/>
    </row>
    <row r="16" spans="1:26" ht="15" customHeight="1">
      <c r="A16" s="139" t="s">
        <v>837</v>
      </c>
      <c r="B16" s="140">
        <f>B6+B11</f>
        <v>0</v>
      </c>
      <c r="C16" s="140">
        <f>C6+C11</f>
        <v>1930.93</v>
      </c>
      <c r="D16" s="140">
        <f>D6+D11</f>
        <v>1880.12</v>
      </c>
      <c r="E16" s="140">
        <f>E6+E11</f>
        <v>402.08</v>
      </c>
      <c r="F16" s="140">
        <f>F6+F11</f>
        <v>4213.13</v>
      </c>
      <c r="G16" s="135"/>
      <c r="H16" s="135"/>
      <c r="I16" s="135"/>
      <c r="J16" s="135"/>
      <c r="K16" s="135"/>
      <c r="L16" s="135"/>
      <c r="M16" s="135"/>
      <c r="N16" s="135"/>
      <c r="O16" s="135"/>
      <c r="P16" s="135"/>
      <c r="Q16" s="135"/>
      <c r="R16" s="135"/>
      <c r="S16" s="135"/>
      <c r="T16" s="135"/>
      <c r="U16" s="135"/>
      <c r="V16" s="135"/>
      <c r="W16" s="135"/>
      <c r="X16" s="135"/>
      <c r="Y16" s="135"/>
      <c r="Z16" s="135"/>
    </row>
    <row r="17" spans="1:26" ht="15" customHeight="1">
      <c r="A17" s="139" t="s">
        <v>838</v>
      </c>
      <c r="B17" s="140">
        <f>B15-B16</f>
        <v>0</v>
      </c>
      <c r="C17" s="140">
        <f>C15-C16</f>
        <v>712.81999999999994</v>
      </c>
      <c r="D17" s="140">
        <f>D15-D16</f>
        <v>1114.8800000000001</v>
      </c>
      <c r="E17" s="140">
        <f>E15-E16</f>
        <v>179.17000000000002</v>
      </c>
      <c r="F17" s="140">
        <f>F15-F16</f>
        <v>2006.87</v>
      </c>
      <c r="G17" s="135"/>
      <c r="H17" s="135"/>
      <c r="I17" s="135"/>
      <c r="J17" s="135"/>
      <c r="K17" s="135"/>
      <c r="L17" s="135"/>
      <c r="M17" s="135"/>
      <c r="N17" s="135"/>
      <c r="O17" s="135"/>
      <c r="P17" s="135"/>
      <c r="Q17" s="135"/>
      <c r="R17" s="135"/>
      <c r="S17" s="135"/>
      <c r="T17" s="135"/>
      <c r="U17" s="135"/>
      <c r="V17" s="135"/>
      <c r="W17" s="135"/>
      <c r="X17" s="135"/>
      <c r="Y17" s="135"/>
      <c r="Z17" s="135"/>
    </row>
    <row r="18" spans="1:26" ht="15" customHeight="1">
      <c r="A18" s="139" t="s">
        <v>839</v>
      </c>
      <c r="B18" s="141">
        <f>IFERROR(B17/B15,0)</f>
        <v>0</v>
      </c>
      <c r="C18" s="141">
        <f>IFERROR(C17/C15,0)</f>
        <v>0.26962458628841607</v>
      </c>
      <c r="D18" s="141">
        <f>IFERROR(D17/D15,0)</f>
        <v>0.37224707846410687</v>
      </c>
      <c r="E18" s="141">
        <f>IFERROR(E17/E15,0)</f>
        <v>0.30824946236559142</v>
      </c>
      <c r="F18" s="141">
        <f>IFERROR(F17/F15,0)</f>
        <v>0.32264790996784565</v>
      </c>
      <c r="G18" s="135"/>
      <c r="H18" s="135"/>
      <c r="I18" s="135"/>
      <c r="J18" s="135"/>
      <c r="K18" s="135"/>
      <c r="L18" s="135"/>
      <c r="M18" s="135"/>
      <c r="N18" s="135"/>
      <c r="O18" s="135"/>
      <c r="P18" s="135"/>
      <c r="Q18" s="135"/>
      <c r="R18" s="135"/>
      <c r="S18" s="135"/>
      <c r="T18" s="135"/>
      <c r="U18" s="135"/>
      <c r="V18" s="135"/>
      <c r="W18" s="135"/>
      <c r="X18" s="135"/>
      <c r="Y18" s="135"/>
      <c r="Z18" s="135"/>
    </row>
    <row r="19" spans="1:26" ht="15" customHeight="1">
      <c r="A19" s="135"/>
      <c r="B19" s="135"/>
      <c r="C19" s="135"/>
      <c r="D19" s="135"/>
      <c r="E19" s="135"/>
      <c r="F19" s="135"/>
      <c r="G19" s="135"/>
      <c r="H19" s="135"/>
      <c r="I19" s="135"/>
      <c r="J19" s="135"/>
      <c r="K19" s="135"/>
      <c r="L19" s="135"/>
      <c r="M19" s="135"/>
      <c r="N19" s="135"/>
      <c r="O19" s="135"/>
      <c r="P19" s="135"/>
      <c r="Q19" s="135"/>
      <c r="R19" s="135"/>
      <c r="S19" s="135"/>
      <c r="T19" s="135"/>
      <c r="U19" s="135"/>
      <c r="V19" s="135"/>
      <c r="W19" s="135"/>
      <c r="X19" s="135"/>
      <c r="Y19" s="135"/>
      <c r="Z19" s="135"/>
    </row>
    <row r="20" spans="1:26" ht="15" customHeight="1">
      <c r="A20" s="139" t="s">
        <v>577</v>
      </c>
      <c r="B20" s="140">
        <v>0</v>
      </c>
      <c r="C20" s="140">
        <v>0</v>
      </c>
      <c r="D20" s="140">
        <v>0</v>
      </c>
      <c r="E20" s="140">
        <v>0</v>
      </c>
      <c r="F20" s="140">
        <f>E20</f>
        <v>0</v>
      </c>
      <c r="G20" s="135"/>
      <c r="H20" s="135"/>
      <c r="I20" s="135"/>
      <c r="J20" s="135"/>
      <c r="K20" s="135"/>
      <c r="L20" s="135"/>
      <c r="M20" s="135"/>
      <c r="N20" s="135"/>
      <c r="O20" s="135"/>
      <c r="P20" s="135"/>
      <c r="Q20" s="135"/>
      <c r="R20" s="135"/>
      <c r="S20" s="135"/>
      <c r="T20" s="135"/>
      <c r="U20" s="135"/>
      <c r="V20" s="135"/>
      <c r="W20" s="135"/>
      <c r="X20" s="135"/>
      <c r="Y20" s="135"/>
      <c r="Z20" s="135"/>
    </row>
    <row r="21" spans="1:26" ht="23.25" customHeight="1">
      <c r="A21" s="225" t="s">
        <v>840</v>
      </c>
      <c r="B21" s="300" t="s">
        <v>841</v>
      </c>
      <c r="C21" s="300"/>
      <c r="D21" s="300"/>
      <c r="E21" s="300"/>
      <c r="F21" s="300"/>
      <c r="G21" s="135"/>
      <c r="H21" s="135"/>
      <c r="I21" s="135"/>
      <c r="J21" s="135"/>
      <c r="K21" s="135"/>
      <c r="L21" s="135"/>
      <c r="M21" s="135"/>
      <c r="N21" s="135"/>
      <c r="O21" s="135"/>
      <c r="P21" s="135"/>
      <c r="Q21" s="135"/>
      <c r="R21" s="135"/>
      <c r="S21" s="135"/>
      <c r="T21" s="135"/>
      <c r="U21" s="135"/>
      <c r="V21" s="135"/>
      <c r="W21" s="135"/>
      <c r="X21" s="135"/>
      <c r="Y21" s="135"/>
      <c r="Z21" s="135"/>
    </row>
    <row r="22" spans="1:26" ht="15" customHeight="1">
      <c r="A22" s="226" t="s">
        <v>842</v>
      </c>
      <c r="B22" s="226"/>
      <c r="C22" s="226"/>
      <c r="D22" s="226"/>
      <c r="E22" s="226"/>
      <c r="F22" s="226"/>
      <c r="G22" s="135"/>
      <c r="H22" s="135"/>
      <c r="I22" s="135"/>
      <c r="J22" s="135"/>
      <c r="K22" s="135"/>
      <c r="L22" s="135"/>
      <c r="M22" s="135"/>
      <c r="N22" s="135"/>
      <c r="O22" s="135"/>
      <c r="P22" s="135"/>
      <c r="Q22" s="135"/>
      <c r="R22" s="135"/>
      <c r="S22" s="135"/>
      <c r="T22" s="135"/>
      <c r="U22" s="135"/>
      <c r="V22" s="135"/>
      <c r="W22" s="135"/>
      <c r="X22" s="135"/>
      <c r="Y22" s="135"/>
      <c r="Z22" s="135"/>
    </row>
    <row r="23" spans="1:26" ht="48" customHeight="1">
      <c r="A23" s="227" t="s">
        <v>843</v>
      </c>
      <c r="B23" s="334" t="s">
        <v>844</v>
      </c>
      <c r="C23" s="334"/>
      <c r="D23" s="334"/>
      <c r="E23" s="334"/>
      <c r="F23" s="334"/>
      <c r="G23" s="135"/>
      <c r="H23" s="135"/>
      <c r="I23" s="135"/>
      <c r="J23" s="135"/>
      <c r="K23" s="135"/>
      <c r="L23" s="135"/>
      <c r="M23" s="135"/>
      <c r="N23" s="135"/>
      <c r="O23" s="135"/>
      <c r="P23" s="135"/>
      <c r="Q23" s="135"/>
      <c r="R23" s="135"/>
      <c r="S23" s="135"/>
      <c r="T23" s="135"/>
      <c r="U23" s="135"/>
      <c r="V23" s="135"/>
      <c r="W23" s="135"/>
      <c r="X23" s="135"/>
      <c r="Y23" s="135"/>
      <c r="Z23" s="135"/>
    </row>
    <row r="24" spans="1:26" ht="37.5" customHeight="1">
      <c r="A24" s="227" t="s">
        <v>845</v>
      </c>
      <c r="B24" s="334" t="s">
        <v>846</v>
      </c>
      <c r="C24" s="334"/>
      <c r="D24" s="334"/>
      <c r="E24" s="334"/>
      <c r="F24" s="334"/>
      <c r="G24" s="135"/>
      <c r="H24" s="135"/>
      <c r="I24" s="135"/>
      <c r="J24" s="135"/>
      <c r="K24" s="135"/>
      <c r="L24" s="135"/>
      <c r="M24" s="135"/>
      <c r="N24" s="135"/>
      <c r="O24" s="135"/>
      <c r="P24" s="135"/>
      <c r="Q24" s="135"/>
      <c r="R24" s="135"/>
      <c r="S24" s="135"/>
      <c r="T24" s="135"/>
      <c r="U24" s="135"/>
      <c r="V24" s="135"/>
      <c r="W24" s="135"/>
      <c r="X24" s="135"/>
      <c r="Y24" s="135"/>
      <c r="Z24" s="135"/>
    </row>
    <row r="25" spans="1:26" ht="51.75" customHeight="1">
      <c r="A25" s="227" t="s">
        <v>847</v>
      </c>
      <c r="B25" s="334" t="s">
        <v>848</v>
      </c>
      <c r="C25" s="334"/>
      <c r="D25" s="334"/>
      <c r="E25" s="334"/>
      <c r="F25" s="334"/>
      <c r="G25" s="135"/>
      <c r="H25" s="135"/>
      <c r="I25" s="135"/>
      <c r="J25" s="135"/>
      <c r="K25" s="135"/>
      <c r="L25" s="135"/>
      <c r="M25" s="135"/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35"/>
      <c r="Y25" s="135"/>
      <c r="Z25" s="135"/>
    </row>
    <row r="26" spans="1:26" ht="15" customHeight="1">
      <c r="A26" s="135"/>
      <c r="B26" s="135"/>
      <c r="C26" s="135"/>
      <c r="D26" s="135"/>
      <c r="E26" s="135"/>
      <c r="F26" s="135"/>
      <c r="G26" s="135"/>
      <c r="H26" s="135"/>
      <c r="I26" s="135"/>
      <c r="J26" s="135"/>
      <c r="K26" s="135"/>
      <c r="L26" s="135"/>
      <c r="M26" s="135"/>
      <c r="N26" s="135"/>
      <c r="O26" s="135"/>
      <c r="P26" s="135"/>
      <c r="Q26" s="135"/>
      <c r="R26" s="135"/>
      <c r="S26" s="135"/>
      <c r="T26" s="135"/>
      <c r="U26" s="135"/>
      <c r="V26" s="135"/>
      <c r="W26" s="135"/>
      <c r="X26" s="135"/>
      <c r="Y26" s="135"/>
      <c r="Z26" s="135"/>
    </row>
    <row r="27" spans="1:26" ht="15" customHeight="1">
      <c r="A27" s="135"/>
      <c r="B27" s="135"/>
      <c r="C27" s="135"/>
      <c r="D27" s="135"/>
      <c r="E27" s="135"/>
      <c r="F27" s="135"/>
      <c r="G27" s="135"/>
      <c r="H27" s="135"/>
      <c r="I27" s="135"/>
      <c r="J27" s="135"/>
      <c r="K27" s="135"/>
      <c r="L27" s="135"/>
      <c r="M27" s="135"/>
      <c r="N27" s="135"/>
      <c r="O27" s="135"/>
      <c r="P27" s="135"/>
      <c r="Q27" s="135"/>
      <c r="R27" s="135"/>
      <c r="S27" s="135"/>
      <c r="T27" s="135"/>
      <c r="U27" s="135"/>
      <c r="V27" s="135"/>
      <c r="W27" s="135"/>
      <c r="X27" s="135"/>
      <c r="Y27" s="135"/>
      <c r="Z27" s="135"/>
    </row>
    <row r="28" spans="1:26" ht="15" customHeight="1">
      <c r="A28" s="135"/>
      <c r="B28" s="135"/>
      <c r="C28" s="135"/>
      <c r="D28" s="135"/>
      <c r="E28" s="135"/>
      <c r="F28" s="135"/>
      <c r="G28" s="135"/>
      <c r="H28" s="135"/>
      <c r="I28" s="135"/>
      <c r="J28" s="135"/>
      <c r="K28" s="135"/>
      <c r="L28" s="135"/>
      <c r="M28" s="135"/>
      <c r="N28" s="135"/>
      <c r="O28" s="135"/>
      <c r="P28" s="135"/>
      <c r="Q28" s="135"/>
      <c r="R28" s="135"/>
      <c r="S28" s="135"/>
      <c r="T28" s="135"/>
      <c r="U28" s="135"/>
      <c r="V28" s="135"/>
      <c r="W28" s="135"/>
      <c r="X28" s="135"/>
      <c r="Y28" s="135"/>
      <c r="Z28" s="135"/>
    </row>
    <row r="29" spans="1:26" ht="15" customHeight="1">
      <c r="A29" s="135"/>
      <c r="B29" s="135"/>
      <c r="C29" s="135"/>
      <c r="D29" s="135"/>
      <c r="E29" s="135"/>
      <c r="F29" s="135"/>
      <c r="G29" s="135"/>
      <c r="H29" s="135"/>
      <c r="I29" s="135"/>
      <c r="J29" s="135"/>
      <c r="K29" s="135"/>
      <c r="L29" s="135"/>
      <c r="M29" s="135"/>
      <c r="N29" s="135"/>
      <c r="O29" s="135"/>
      <c r="P29" s="135"/>
      <c r="Q29" s="135"/>
      <c r="R29" s="135"/>
      <c r="S29" s="135"/>
      <c r="T29" s="135"/>
      <c r="U29" s="135"/>
      <c r="V29" s="135"/>
      <c r="W29" s="135"/>
      <c r="X29" s="135"/>
      <c r="Y29" s="135"/>
      <c r="Z29" s="135"/>
    </row>
    <row r="30" spans="1:26" ht="15" customHeight="1">
      <c r="A30" s="135"/>
      <c r="B30" s="135"/>
      <c r="C30" s="135"/>
      <c r="D30" s="135"/>
      <c r="E30" s="135"/>
      <c r="F30" s="135"/>
      <c r="G30" s="135"/>
      <c r="H30" s="135"/>
      <c r="I30" s="135"/>
      <c r="J30" s="135"/>
      <c r="K30" s="135"/>
      <c r="L30" s="135"/>
      <c r="M30" s="135"/>
      <c r="N30" s="135"/>
      <c r="O30" s="135"/>
      <c r="P30" s="135"/>
      <c r="Q30" s="135"/>
      <c r="R30" s="135"/>
      <c r="S30" s="135"/>
      <c r="T30" s="135"/>
      <c r="U30" s="135"/>
      <c r="V30" s="135"/>
      <c r="W30" s="135"/>
      <c r="X30" s="135"/>
      <c r="Y30" s="135"/>
      <c r="Z30" s="135"/>
    </row>
    <row r="31" spans="1:26" ht="15" customHeight="1">
      <c r="A31" s="135"/>
      <c r="B31" s="135"/>
      <c r="C31" s="135"/>
      <c r="D31" s="135"/>
      <c r="E31" s="135"/>
      <c r="F31" s="135"/>
      <c r="G31" s="135"/>
      <c r="H31" s="135"/>
      <c r="I31" s="135"/>
      <c r="J31" s="135"/>
      <c r="K31" s="135"/>
      <c r="L31" s="135"/>
      <c r="M31" s="135"/>
      <c r="N31" s="135"/>
      <c r="O31" s="135"/>
      <c r="P31" s="135"/>
      <c r="Q31" s="135"/>
      <c r="R31" s="135"/>
      <c r="S31" s="135"/>
      <c r="T31" s="135"/>
      <c r="U31" s="135"/>
      <c r="V31" s="135"/>
      <c r="W31" s="135"/>
      <c r="X31" s="135"/>
      <c r="Y31" s="135"/>
      <c r="Z31" s="135"/>
    </row>
    <row r="32" spans="1:26" ht="15" customHeight="1">
      <c r="A32" s="135"/>
      <c r="B32" s="135"/>
      <c r="C32" s="135"/>
      <c r="D32" s="135"/>
      <c r="E32" s="135"/>
      <c r="F32" s="135"/>
      <c r="G32" s="135"/>
      <c r="H32" s="135"/>
      <c r="I32" s="135"/>
      <c r="J32" s="135"/>
      <c r="K32" s="135"/>
      <c r="L32" s="135"/>
      <c r="M32" s="135"/>
      <c r="N32" s="135"/>
      <c r="O32" s="135"/>
      <c r="P32" s="135"/>
      <c r="Q32" s="135"/>
      <c r="R32" s="135"/>
      <c r="S32" s="135"/>
      <c r="T32" s="135"/>
      <c r="U32" s="135"/>
      <c r="V32" s="135"/>
      <c r="W32" s="135"/>
      <c r="X32" s="135"/>
      <c r="Y32" s="135"/>
      <c r="Z32" s="135"/>
    </row>
    <row r="33" spans="1:26" ht="15" customHeight="1">
      <c r="A33" s="135"/>
      <c r="B33" s="135"/>
      <c r="C33" s="135"/>
      <c r="D33" s="135"/>
      <c r="E33" s="135"/>
      <c r="F33" s="135"/>
      <c r="G33" s="135"/>
      <c r="H33" s="135"/>
      <c r="I33" s="135"/>
      <c r="J33" s="135"/>
      <c r="K33" s="135"/>
      <c r="L33" s="135"/>
      <c r="M33" s="135"/>
      <c r="N33" s="135"/>
      <c r="O33" s="135"/>
      <c r="P33" s="135"/>
      <c r="Q33" s="135"/>
      <c r="R33" s="135"/>
      <c r="S33" s="135"/>
      <c r="T33" s="135"/>
      <c r="U33" s="135"/>
      <c r="V33" s="135"/>
      <c r="W33" s="135"/>
      <c r="X33" s="135"/>
      <c r="Y33" s="135"/>
      <c r="Z33" s="135"/>
    </row>
    <row r="34" spans="1:26" ht="15" customHeight="1">
      <c r="A34" s="193"/>
      <c r="B34" s="193"/>
      <c r="C34" s="193"/>
      <c r="D34" s="193"/>
      <c r="E34" s="193"/>
      <c r="F34" s="193"/>
      <c r="G34" s="135"/>
      <c r="H34" s="135"/>
      <c r="I34" s="135"/>
      <c r="J34" s="135"/>
      <c r="K34" s="135"/>
      <c r="L34" s="135"/>
      <c r="M34" s="135"/>
      <c r="N34" s="135"/>
      <c r="O34" s="135"/>
      <c r="P34" s="135"/>
      <c r="Q34" s="135"/>
      <c r="R34" s="135"/>
      <c r="S34" s="135"/>
      <c r="T34" s="135"/>
      <c r="U34" s="135"/>
      <c r="V34" s="135"/>
      <c r="W34" s="135"/>
      <c r="X34" s="135"/>
      <c r="Y34" s="135"/>
      <c r="Z34" s="135"/>
    </row>
    <row r="35" spans="1:26" ht="15" customHeight="1">
      <c r="A35" s="193"/>
      <c r="B35" s="193"/>
      <c r="C35" s="193"/>
      <c r="D35" s="193"/>
      <c r="E35" s="193"/>
      <c r="F35" s="193"/>
      <c r="G35" s="135"/>
      <c r="H35" s="135"/>
      <c r="I35" s="135"/>
      <c r="J35" s="135"/>
      <c r="K35" s="135"/>
      <c r="L35" s="135"/>
      <c r="M35" s="135"/>
      <c r="N35" s="135"/>
      <c r="O35" s="135"/>
      <c r="P35" s="135"/>
      <c r="Q35" s="135"/>
      <c r="R35" s="135"/>
      <c r="S35" s="135"/>
      <c r="T35" s="135"/>
      <c r="U35" s="135"/>
      <c r="V35" s="135"/>
      <c r="W35" s="135"/>
      <c r="X35" s="135"/>
      <c r="Y35" s="135"/>
      <c r="Z35" s="135"/>
    </row>
    <row r="36" spans="1:26" ht="15" customHeight="1">
      <c r="A36" s="193"/>
      <c r="B36" s="193"/>
      <c r="C36" s="193"/>
      <c r="D36" s="193"/>
      <c r="E36" s="193"/>
      <c r="F36" s="193"/>
      <c r="G36" s="135"/>
      <c r="H36" s="135"/>
      <c r="I36" s="135"/>
      <c r="J36" s="135"/>
      <c r="K36" s="135"/>
      <c r="L36" s="135"/>
      <c r="M36" s="135"/>
      <c r="N36" s="135"/>
      <c r="O36" s="135"/>
      <c r="P36" s="135"/>
      <c r="Q36" s="135"/>
      <c r="R36" s="135"/>
      <c r="S36" s="135"/>
      <c r="T36" s="135"/>
      <c r="U36" s="135"/>
      <c r="V36" s="135"/>
      <c r="W36" s="135"/>
      <c r="X36" s="135"/>
      <c r="Y36" s="135"/>
      <c r="Z36" s="135"/>
    </row>
    <row r="37" spans="1:26" ht="15" customHeight="1">
      <c r="A37" s="135"/>
      <c r="B37" s="135"/>
      <c r="C37" s="135"/>
      <c r="D37" s="135"/>
      <c r="E37" s="135"/>
      <c r="F37" s="135"/>
      <c r="G37" s="135"/>
      <c r="H37" s="135"/>
      <c r="I37" s="135"/>
      <c r="J37" s="135"/>
      <c r="K37" s="135"/>
      <c r="L37" s="135"/>
      <c r="M37" s="135"/>
      <c r="N37" s="135"/>
      <c r="O37" s="135"/>
      <c r="P37" s="135"/>
      <c r="Q37" s="135"/>
      <c r="R37" s="135"/>
      <c r="S37" s="135"/>
      <c r="T37" s="135"/>
      <c r="U37" s="135"/>
      <c r="V37" s="135"/>
      <c r="W37" s="135"/>
      <c r="X37" s="135"/>
      <c r="Y37" s="135"/>
      <c r="Z37" s="135"/>
    </row>
    <row r="38" spans="1:26" ht="15" customHeight="1">
      <c r="A38" s="135"/>
      <c r="B38" s="135"/>
      <c r="C38" s="135"/>
      <c r="D38" s="135"/>
      <c r="E38" s="135"/>
      <c r="F38" s="135"/>
      <c r="G38" s="135"/>
      <c r="H38" s="135"/>
      <c r="I38" s="135"/>
      <c r="J38" s="135"/>
      <c r="K38" s="135"/>
      <c r="L38" s="135"/>
      <c r="M38" s="135"/>
      <c r="N38" s="135"/>
      <c r="O38" s="135"/>
      <c r="P38" s="135"/>
      <c r="Q38" s="135"/>
      <c r="R38" s="135"/>
      <c r="S38" s="135"/>
      <c r="T38" s="135"/>
      <c r="U38" s="135"/>
      <c r="V38" s="135"/>
      <c r="W38" s="135"/>
      <c r="X38" s="135"/>
      <c r="Y38" s="135"/>
      <c r="Z38" s="135"/>
    </row>
    <row r="39" spans="1:26" ht="15" customHeight="1">
      <c r="A39" s="135"/>
      <c r="B39" s="135"/>
      <c r="C39" s="135"/>
      <c r="D39" s="135"/>
      <c r="E39" s="135"/>
      <c r="F39" s="135"/>
      <c r="G39" s="135"/>
      <c r="H39" s="135"/>
      <c r="I39" s="135"/>
      <c r="J39" s="135"/>
      <c r="K39" s="135"/>
      <c r="L39" s="135"/>
      <c r="M39" s="135"/>
      <c r="N39" s="135"/>
      <c r="O39" s="135"/>
      <c r="P39" s="135"/>
      <c r="Q39" s="135"/>
      <c r="R39" s="135"/>
      <c r="S39" s="135"/>
      <c r="T39" s="135"/>
      <c r="U39" s="135"/>
      <c r="V39" s="135"/>
      <c r="W39" s="135"/>
      <c r="X39" s="135"/>
      <c r="Y39" s="135"/>
      <c r="Z39" s="135"/>
    </row>
    <row r="40" spans="1:26" ht="15" customHeight="1">
      <c r="A40" s="135"/>
      <c r="B40" s="135"/>
      <c r="C40" s="135"/>
      <c r="D40" s="135"/>
      <c r="E40" s="135"/>
      <c r="F40" s="135"/>
      <c r="G40" s="135"/>
      <c r="H40" s="135"/>
      <c r="I40" s="135"/>
      <c r="J40" s="135"/>
      <c r="K40" s="135"/>
      <c r="L40" s="135"/>
      <c r="M40" s="135"/>
      <c r="N40" s="135"/>
      <c r="O40" s="135"/>
      <c r="P40" s="135"/>
      <c r="Q40" s="135"/>
      <c r="R40" s="135"/>
      <c r="S40" s="135"/>
      <c r="T40" s="135"/>
      <c r="U40" s="135"/>
      <c r="V40" s="135"/>
      <c r="W40" s="135"/>
      <c r="X40" s="135"/>
      <c r="Y40" s="135"/>
      <c r="Z40" s="135"/>
    </row>
    <row r="41" spans="1:26" ht="15" customHeight="1">
      <c r="A41" s="135"/>
      <c r="B41" s="135"/>
      <c r="C41" s="135"/>
      <c r="D41" s="135"/>
      <c r="E41" s="135"/>
      <c r="F41" s="135"/>
      <c r="G41" s="135"/>
      <c r="H41" s="135"/>
      <c r="I41" s="135"/>
      <c r="J41" s="135"/>
      <c r="K41" s="135"/>
      <c r="L41" s="135"/>
      <c r="M41" s="135"/>
      <c r="N41" s="135"/>
      <c r="O41" s="135"/>
      <c r="P41" s="135"/>
      <c r="Q41" s="135"/>
      <c r="R41" s="135"/>
      <c r="S41" s="135"/>
      <c r="T41" s="135"/>
      <c r="U41" s="135"/>
      <c r="V41" s="135"/>
      <c r="W41" s="135"/>
      <c r="X41" s="135"/>
      <c r="Y41" s="135"/>
      <c r="Z41" s="135"/>
    </row>
    <row r="42" spans="1:26" ht="15" customHeight="1">
      <c r="A42" s="135"/>
      <c r="B42" s="135"/>
      <c r="C42" s="135"/>
      <c r="D42" s="135"/>
      <c r="E42" s="135"/>
      <c r="F42" s="135"/>
      <c r="G42" s="135"/>
      <c r="H42" s="135"/>
      <c r="I42" s="135"/>
      <c r="J42" s="135"/>
      <c r="K42" s="135"/>
      <c r="L42" s="135"/>
      <c r="M42" s="135"/>
      <c r="N42" s="135"/>
      <c r="O42" s="135"/>
      <c r="P42" s="135"/>
      <c r="Q42" s="135"/>
      <c r="R42" s="135"/>
      <c r="S42" s="135"/>
      <c r="T42" s="135"/>
      <c r="U42" s="135"/>
      <c r="V42" s="135"/>
      <c r="W42" s="135"/>
      <c r="X42" s="135"/>
      <c r="Y42" s="135"/>
      <c r="Z42" s="135"/>
    </row>
    <row r="43" spans="1:26" ht="15" customHeight="1">
      <c r="A43" s="135"/>
      <c r="B43" s="135"/>
      <c r="C43" s="135"/>
      <c r="D43" s="135"/>
      <c r="E43" s="135"/>
      <c r="F43" s="135"/>
      <c r="G43" s="135"/>
      <c r="H43" s="135"/>
      <c r="I43" s="135"/>
      <c r="J43" s="135"/>
      <c r="K43" s="135"/>
      <c r="L43" s="135"/>
      <c r="M43" s="135"/>
      <c r="N43" s="135"/>
      <c r="O43" s="135"/>
      <c r="P43" s="135"/>
      <c r="Q43" s="135"/>
      <c r="R43" s="135"/>
      <c r="S43" s="135"/>
      <c r="T43" s="135"/>
      <c r="U43" s="135"/>
      <c r="V43" s="135"/>
      <c r="W43" s="135"/>
      <c r="X43" s="135"/>
      <c r="Y43" s="135"/>
      <c r="Z43" s="135"/>
    </row>
    <row r="44" spans="1:26" ht="15" customHeight="1">
      <c r="A44" s="135"/>
      <c r="B44" s="135"/>
      <c r="C44" s="135"/>
      <c r="D44" s="135"/>
      <c r="E44" s="135"/>
      <c r="F44" s="135"/>
      <c r="G44" s="135"/>
      <c r="H44" s="135"/>
      <c r="I44" s="135"/>
      <c r="J44" s="135"/>
      <c r="K44" s="135"/>
      <c r="L44" s="135"/>
      <c r="M44" s="135"/>
      <c r="N44" s="135"/>
      <c r="O44" s="135"/>
      <c r="P44" s="135"/>
      <c r="Q44" s="135"/>
      <c r="R44" s="135"/>
      <c r="S44" s="135"/>
      <c r="T44" s="135"/>
      <c r="U44" s="135"/>
      <c r="V44" s="135"/>
      <c r="W44" s="135"/>
      <c r="X44" s="135"/>
      <c r="Y44" s="135"/>
      <c r="Z44" s="135"/>
    </row>
    <row r="45" spans="1:26" ht="15" customHeight="1">
      <c r="A45" s="135"/>
      <c r="B45" s="135"/>
      <c r="C45" s="135"/>
      <c r="D45" s="135"/>
      <c r="E45" s="135"/>
      <c r="F45" s="135"/>
      <c r="G45" s="135"/>
      <c r="H45" s="135"/>
      <c r="I45" s="135"/>
      <c r="J45" s="135"/>
      <c r="K45" s="135"/>
      <c r="L45" s="135"/>
      <c r="M45" s="135"/>
      <c r="N45" s="135"/>
      <c r="O45" s="135"/>
      <c r="P45" s="135"/>
      <c r="Q45" s="135"/>
      <c r="R45" s="135"/>
      <c r="S45" s="135"/>
      <c r="T45" s="135"/>
      <c r="U45" s="135"/>
      <c r="V45" s="135"/>
      <c r="W45" s="135"/>
      <c r="X45" s="135"/>
      <c r="Y45" s="135"/>
      <c r="Z45" s="135"/>
    </row>
    <row r="46" spans="1:26" ht="15" customHeight="1">
      <c r="A46" s="135"/>
      <c r="B46" s="135"/>
      <c r="C46" s="135"/>
      <c r="D46" s="135"/>
      <c r="E46" s="135"/>
      <c r="F46" s="135"/>
      <c r="G46" s="135"/>
      <c r="H46" s="135"/>
      <c r="I46" s="135"/>
      <c r="J46" s="135"/>
      <c r="K46" s="135"/>
      <c r="L46" s="135"/>
      <c r="M46" s="135"/>
      <c r="N46" s="135"/>
      <c r="O46" s="135"/>
      <c r="P46" s="135"/>
      <c r="Q46" s="135"/>
      <c r="R46" s="135"/>
      <c r="S46" s="135"/>
      <c r="T46" s="135"/>
      <c r="U46" s="135"/>
      <c r="V46" s="135"/>
      <c r="W46" s="135"/>
      <c r="X46" s="135"/>
      <c r="Y46" s="135"/>
      <c r="Z46" s="135"/>
    </row>
    <row r="47" spans="1:26" ht="15" customHeight="1">
      <c r="A47" s="135"/>
      <c r="B47" s="135"/>
      <c r="C47" s="135"/>
      <c r="D47" s="135"/>
      <c r="E47" s="135"/>
      <c r="F47" s="135"/>
      <c r="G47" s="135"/>
      <c r="H47" s="135"/>
      <c r="I47" s="135"/>
      <c r="J47" s="135"/>
      <c r="K47" s="135"/>
      <c r="L47" s="135"/>
      <c r="M47" s="135"/>
      <c r="N47" s="135"/>
      <c r="O47" s="135"/>
      <c r="P47" s="135"/>
      <c r="Q47" s="135"/>
      <c r="R47" s="135"/>
      <c r="S47" s="135"/>
      <c r="T47" s="135"/>
      <c r="U47" s="135"/>
      <c r="V47" s="135"/>
      <c r="W47" s="135"/>
      <c r="X47" s="135"/>
      <c r="Y47" s="135"/>
      <c r="Z47" s="135"/>
    </row>
    <row r="48" spans="1:26" ht="15" customHeight="1">
      <c r="A48" s="135"/>
      <c r="B48" s="135"/>
      <c r="C48" s="135"/>
      <c r="D48" s="135"/>
      <c r="E48" s="135"/>
      <c r="F48" s="135"/>
      <c r="G48" s="135"/>
      <c r="H48" s="135"/>
      <c r="I48" s="135"/>
      <c r="J48" s="135"/>
      <c r="K48" s="135"/>
      <c r="L48" s="135"/>
      <c r="M48" s="135"/>
      <c r="N48" s="135"/>
      <c r="O48" s="135"/>
      <c r="P48" s="135"/>
      <c r="Q48" s="135"/>
      <c r="R48" s="135"/>
      <c r="S48" s="135"/>
      <c r="T48" s="135"/>
      <c r="U48" s="135"/>
      <c r="V48" s="135"/>
      <c r="W48" s="135"/>
      <c r="X48" s="135"/>
      <c r="Y48" s="135"/>
      <c r="Z48" s="135"/>
    </row>
    <row r="49" spans="1:26" ht="15" customHeight="1">
      <c r="A49" s="135"/>
      <c r="B49" s="135"/>
      <c r="C49" s="135"/>
      <c r="D49" s="135"/>
      <c r="E49" s="135"/>
      <c r="F49" s="135"/>
      <c r="G49" s="135"/>
      <c r="H49" s="135"/>
      <c r="I49" s="135"/>
      <c r="J49" s="135"/>
      <c r="K49" s="135"/>
      <c r="L49" s="135"/>
      <c r="M49" s="135"/>
      <c r="N49" s="135"/>
      <c r="O49" s="135"/>
      <c r="P49" s="135"/>
      <c r="Q49" s="135"/>
      <c r="R49" s="135"/>
      <c r="S49" s="135"/>
      <c r="T49" s="135"/>
      <c r="U49" s="135"/>
      <c r="V49" s="135"/>
      <c r="W49" s="135"/>
      <c r="X49" s="135"/>
      <c r="Y49" s="135"/>
      <c r="Z49" s="135"/>
    </row>
    <row r="50" spans="1:26" ht="15" customHeight="1">
      <c r="A50" s="135"/>
      <c r="B50" s="135"/>
      <c r="C50" s="135"/>
      <c r="D50" s="135"/>
      <c r="E50" s="135"/>
      <c r="F50" s="135"/>
      <c r="G50" s="135"/>
      <c r="H50" s="135"/>
      <c r="I50" s="135"/>
      <c r="J50" s="135"/>
      <c r="K50" s="135"/>
      <c r="L50" s="135"/>
      <c r="M50" s="135"/>
      <c r="N50" s="135"/>
      <c r="O50" s="135"/>
      <c r="P50" s="135"/>
      <c r="Q50" s="135"/>
      <c r="R50" s="135"/>
      <c r="S50" s="135"/>
      <c r="T50" s="135"/>
      <c r="U50" s="135"/>
      <c r="V50" s="135"/>
      <c r="W50" s="135"/>
      <c r="X50" s="135"/>
      <c r="Y50" s="135"/>
      <c r="Z50" s="135"/>
    </row>
    <row r="51" spans="1:26" ht="15" customHeight="1">
      <c r="A51" s="135"/>
      <c r="B51" s="135"/>
      <c r="C51" s="135"/>
      <c r="D51" s="135"/>
      <c r="E51" s="135"/>
      <c r="F51" s="135"/>
      <c r="G51" s="135"/>
      <c r="H51" s="135"/>
      <c r="I51" s="135"/>
      <c r="J51" s="135"/>
      <c r="K51" s="135"/>
      <c r="L51" s="135"/>
      <c r="M51" s="135"/>
      <c r="N51" s="135"/>
      <c r="O51" s="135"/>
      <c r="P51" s="135"/>
      <c r="Q51" s="135"/>
      <c r="R51" s="135"/>
      <c r="S51" s="135"/>
      <c r="T51" s="135"/>
      <c r="U51" s="135"/>
      <c r="V51" s="135"/>
      <c r="W51" s="135"/>
      <c r="X51" s="135"/>
      <c r="Y51" s="135"/>
      <c r="Z51" s="135"/>
    </row>
    <row r="52" spans="1:26" ht="15" customHeight="1">
      <c r="A52" s="135"/>
      <c r="B52" s="135"/>
      <c r="C52" s="135"/>
      <c r="D52" s="135"/>
      <c r="E52" s="135"/>
      <c r="F52" s="135"/>
      <c r="G52" s="135"/>
      <c r="H52" s="135"/>
      <c r="I52" s="135"/>
      <c r="J52" s="135"/>
      <c r="K52" s="135"/>
      <c r="L52" s="135"/>
      <c r="M52" s="135"/>
      <c r="N52" s="135"/>
      <c r="O52" s="135"/>
      <c r="P52" s="135"/>
      <c r="Q52" s="135"/>
      <c r="R52" s="135"/>
      <c r="S52" s="135"/>
      <c r="T52" s="135"/>
      <c r="U52" s="135"/>
      <c r="V52" s="135"/>
      <c r="W52" s="135"/>
      <c r="X52" s="135"/>
      <c r="Y52" s="135"/>
      <c r="Z52" s="135"/>
    </row>
    <row r="53" spans="1:26" ht="15" customHeight="1">
      <c r="A53" s="135"/>
      <c r="B53" s="135"/>
      <c r="C53" s="135"/>
      <c r="D53" s="135"/>
      <c r="E53" s="135"/>
      <c r="F53" s="135"/>
      <c r="G53" s="135"/>
      <c r="H53" s="135"/>
      <c r="I53" s="135"/>
      <c r="J53" s="135"/>
      <c r="K53" s="135"/>
      <c r="L53" s="135"/>
      <c r="M53" s="135"/>
      <c r="N53" s="135"/>
      <c r="O53" s="135"/>
      <c r="P53" s="135"/>
      <c r="Q53" s="135"/>
      <c r="R53" s="135"/>
      <c r="S53" s="135"/>
      <c r="T53" s="135"/>
      <c r="U53" s="135"/>
      <c r="V53" s="135"/>
      <c r="W53" s="135"/>
      <c r="X53" s="135"/>
      <c r="Y53" s="135"/>
      <c r="Z53" s="135"/>
    </row>
    <row r="54" spans="1:26" ht="15" customHeight="1">
      <c r="A54" s="135"/>
      <c r="B54" s="135"/>
      <c r="C54" s="135"/>
      <c r="D54" s="135"/>
      <c r="E54" s="135"/>
      <c r="F54" s="135"/>
      <c r="G54" s="135"/>
      <c r="H54" s="135"/>
      <c r="I54" s="135"/>
      <c r="J54" s="135"/>
      <c r="K54" s="135"/>
      <c r="L54" s="135"/>
      <c r="M54" s="135"/>
      <c r="N54" s="135"/>
      <c r="O54" s="135"/>
      <c r="P54" s="135"/>
      <c r="Q54" s="135"/>
      <c r="R54" s="135"/>
      <c r="S54" s="135"/>
      <c r="T54" s="135"/>
      <c r="U54" s="135"/>
      <c r="V54" s="135"/>
      <c r="W54" s="135"/>
      <c r="X54" s="135"/>
      <c r="Y54" s="135"/>
      <c r="Z54" s="135"/>
    </row>
    <row r="55" spans="1:26" ht="15" customHeight="1">
      <c r="A55" s="135"/>
      <c r="B55" s="135"/>
      <c r="C55" s="135"/>
      <c r="D55" s="135"/>
      <c r="E55" s="135"/>
      <c r="F55" s="135"/>
      <c r="G55" s="135"/>
      <c r="H55" s="135"/>
      <c r="I55" s="135"/>
      <c r="J55" s="135"/>
      <c r="K55" s="135"/>
      <c r="L55" s="135"/>
      <c r="M55" s="135"/>
      <c r="N55" s="135"/>
      <c r="O55" s="135"/>
      <c r="P55" s="135"/>
      <c r="Q55" s="135"/>
      <c r="R55" s="135"/>
      <c r="S55" s="135"/>
      <c r="T55" s="135"/>
      <c r="U55" s="135"/>
      <c r="V55" s="135"/>
      <c r="W55" s="135"/>
      <c r="X55" s="135"/>
      <c r="Y55" s="135"/>
      <c r="Z55" s="135"/>
    </row>
    <row r="56" spans="1:26" ht="15" customHeight="1">
      <c r="A56" s="135"/>
      <c r="B56" s="135"/>
      <c r="C56" s="135"/>
      <c r="D56" s="135"/>
      <c r="E56" s="135"/>
      <c r="F56" s="135"/>
      <c r="G56" s="135"/>
      <c r="H56" s="135"/>
      <c r="I56" s="135"/>
      <c r="J56" s="135"/>
      <c r="K56" s="135"/>
      <c r="L56" s="135"/>
      <c r="M56" s="135"/>
      <c r="N56" s="135"/>
      <c r="O56" s="135"/>
      <c r="P56" s="135"/>
      <c r="Q56" s="135"/>
      <c r="R56" s="135"/>
      <c r="S56" s="135"/>
      <c r="T56" s="135"/>
      <c r="U56" s="135"/>
      <c r="V56" s="135"/>
      <c r="W56" s="135"/>
      <c r="X56" s="135"/>
      <c r="Y56" s="135"/>
      <c r="Z56" s="135"/>
    </row>
    <row r="57" spans="1:26" ht="15" customHeight="1">
      <c r="A57" s="135"/>
      <c r="B57" s="135"/>
      <c r="C57" s="135"/>
      <c r="D57" s="135"/>
      <c r="E57" s="135"/>
      <c r="F57" s="135"/>
      <c r="G57" s="135"/>
      <c r="H57" s="135"/>
      <c r="I57" s="135"/>
      <c r="J57" s="135"/>
      <c r="K57" s="135"/>
      <c r="L57" s="135"/>
      <c r="M57" s="135"/>
      <c r="N57" s="135"/>
      <c r="O57" s="135"/>
      <c r="P57" s="135"/>
      <c r="Q57" s="135"/>
      <c r="R57" s="135"/>
      <c r="S57" s="135"/>
      <c r="T57" s="135"/>
      <c r="U57" s="135"/>
      <c r="V57" s="135"/>
      <c r="W57" s="135"/>
      <c r="X57" s="135"/>
      <c r="Y57" s="135"/>
      <c r="Z57" s="135"/>
    </row>
    <row r="58" spans="1:26" ht="15" customHeight="1">
      <c r="A58" s="135"/>
      <c r="B58" s="135"/>
      <c r="C58" s="135"/>
      <c r="D58" s="135"/>
      <c r="E58" s="135"/>
      <c r="F58" s="135"/>
      <c r="G58" s="135"/>
      <c r="H58" s="135"/>
      <c r="I58" s="135"/>
      <c r="J58" s="135"/>
      <c r="K58" s="135"/>
      <c r="L58" s="135"/>
      <c r="M58" s="135"/>
      <c r="N58" s="135"/>
      <c r="O58" s="135"/>
      <c r="P58" s="135"/>
      <c r="Q58" s="135"/>
      <c r="R58" s="135"/>
      <c r="S58" s="135"/>
      <c r="T58" s="135"/>
      <c r="U58" s="135"/>
      <c r="V58" s="135"/>
      <c r="W58" s="135"/>
      <c r="X58" s="135"/>
      <c r="Y58" s="135"/>
      <c r="Z58" s="135"/>
    </row>
    <row r="59" spans="1:26" ht="15" customHeight="1">
      <c r="A59" s="135"/>
      <c r="B59" s="135"/>
      <c r="C59" s="135"/>
      <c r="D59" s="135"/>
      <c r="E59" s="135"/>
      <c r="F59" s="135"/>
      <c r="G59" s="135"/>
      <c r="H59" s="135"/>
      <c r="I59" s="135"/>
      <c r="J59" s="135"/>
      <c r="K59" s="135"/>
      <c r="L59" s="135"/>
      <c r="M59" s="135"/>
      <c r="N59" s="135"/>
      <c r="O59" s="135"/>
      <c r="P59" s="135"/>
      <c r="Q59" s="135"/>
      <c r="R59" s="135"/>
      <c r="S59" s="135"/>
      <c r="T59" s="135"/>
      <c r="U59" s="135"/>
      <c r="V59" s="135"/>
      <c r="W59" s="135"/>
      <c r="X59" s="135"/>
      <c r="Y59" s="135"/>
      <c r="Z59" s="135"/>
    </row>
    <row r="60" spans="1:26" ht="15" customHeight="1">
      <c r="A60" s="135"/>
      <c r="B60" s="135"/>
      <c r="C60" s="135"/>
      <c r="D60" s="135"/>
      <c r="E60" s="135"/>
      <c r="F60" s="135"/>
      <c r="G60" s="135"/>
      <c r="H60" s="135"/>
      <c r="I60" s="135"/>
      <c r="J60" s="135"/>
      <c r="K60" s="135"/>
      <c r="L60" s="135"/>
      <c r="M60" s="135"/>
      <c r="N60" s="135"/>
      <c r="O60" s="135"/>
      <c r="P60" s="135"/>
      <c r="Q60" s="135"/>
      <c r="R60" s="135"/>
      <c r="S60" s="135"/>
      <c r="T60" s="135"/>
      <c r="U60" s="135"/>
      <c r="V60" s="135"/>
      <c r="W60" s="135"/>
      <c r="X60" s="135"/>
      <c r="Y60" s="135"/>
      <c r="Z60" s="135"/>
    </row>
    <row r="61" spans="1:26" ht="15" customHeight="1">
      <c r="A61" s="135"/>
      <c r="B61" s="135"/>
      <c r="C61" s="135"/>
      <c r="D61" s="135"/>
      <c r="E61" s="135"/>
      <c r="F61" s="135"/>
      <c r="G61" s="135"/>
      <c r="H61" s="135"/>
      <c r="I61" s="135"/>
      <c r="J61" s="135"/>
      <c r="K61" s="135"/>
      <c r="L61" s="135"/>
      <c r="M61" s="135"/>
      <c r="N61" s="135"/>
      <c r="O61" s="135"/>
      <c r="P61" s="135"/>
      <c r="Q61" s="135"/>
      <c r="R61" s="135"/>
      <c r="S61" s="135"/>
      <c r="T61" s="135"/>
      <c r="U61" s="135"/>
      <c r="V61" s="135"/>
      <c r="W61" s="135"/>
      <c r="X61" s="135"/>
      <c r="Y61" s="135"/>
      <c r="Z61" s="135"/>
    </row>
    <row r="62" spans="1:26" ht="15" customHeight="1">
      <c r="A62" s="135"/>
      <c r="B62" s="135"/>
      <c r="C62" s="135"/>
      <c r="D62" s="135"/>
      <c r="E62" s="135"/>
      <c r="F62" s="135"/>
      <c r="G62" s="135"/>
      <c r="H62" s="135"/>
      <c r="I62" s="135"/>
      <c r="J62" s="135"/>
      <c r="K62" s="135"/>
      <c r="L62" s="135"/>
      <c r="M62" s="135"/>
      <c r="N62" s="135"/>
      <c r="O62" s="135"/>
      <c r="P62" s="135"/>
      <c r="Q62" s="135"/>
      <c r="R62" s="135"/>
      <c r="S62" s="135"/>
      <c r="T62" s="135"/>
      <c r="U62" s="135"/>
      <c r="V62" s="135"/>
      <c r="W62" s="135"/>
      <c r="X62" s="135"/>
      <c r="Y62" s="135"/>
      <c r="Z62" s="135"/>
    </row>
    <row r="63" spans="1:26" ht="15" customHeight="1">
      <c r="A63" s="135"/>
      <c r="B63" s="135"/>
      <c r="C63" s="135"/>
      <c r="D63" s="135"/>
      <c r="E63" s="135"/>
      <c r="F63" s="135"/>
      <c r="G63" s="135"/>
      <c r="H63" s="135"/>
      <c r="I63" s="135"/>
      <c r="J63" s="135"/>
      <c r="K63" s="135"/>
      <c r="L63" s="135"/>
      <c r="M63" s="135"/>
      <c r="N63" s="135"/>
      <c r="O63" s="135"/>
      <c r="P63" s="135"/>
      <c r="Q63" s="135"/>
      <c r="R63" s="135"/>
      <c r="S63" s="135"/>
      <c r="T63" s="135"/>
      <c r="U63" s="135"/>
      <c r="V63" s="135"/>
      <c r="W63" s="135"/>
      <c r="X63" s="135"/>
      <c r="Y63" s="135"/>
      <c r="Z63" s="135"/>
    </row>
    <row r="64" spans="1:26" ht="15" customHeight="1">
      <c r="A64" s="135"/>
      <c r="B64" s="135"/>
      <c r="C64" s="135"/>
      <c r="D64" s="135"/>
      <c r="E64" s="135"/>
      <c r="F64" s="135"/>
      <c r="G64" s="135"/>
      <c r="H64" s="135"/>
      <c r="I64" s="135"/>
      <c r="J64" s="135"/>
      <c r="K64" s="135"/>
      <c r="L64" s="135"/>
      <c r="M64" s="135"/>
      <c r="N64" s="135"/>
      <c r="O64" s="135"/>
      <c r="P64" s="135"/>
      <c r="Q64" s="135"/>
      <c r="R64" s="135"/>
      <c r="S64" s="135"/>
      <c r="T64" s="135"/>
      <c r="U64" s="135"/>
      <c r="V64" s="135"/>
      <c r="W64" s="135"/>
      <c r="X64" s="135"/>
      <c r="Y64" s="135"/>
      <c r="Z64" s="135"/>
    </row>
    <row r="65" spans="1:26" ht="15" customHeight="1">
      <c r="A65" s="135"/>
      <c r="B65" s="135"/>
      <c r="C65" s="135"/>
      <c r="D65" s="135"/>
      <c r="E65" s="135"/>
      <c r="F65" s="135"/>
      <c r="G65" s="135"/>
      <c r="H65" s="135"/>
      <c r="I65" s="135"/>
      <c r="J65" s="135"/>
      <c r="K65" s="135"/>
      <c r="L65" s="135"/>
      <c r="M65" s="135"/>
      <c r="N65" s="135"/>
      <c r="O65" s="135"/>
      <c r="P65" s="135"/>
      <c r="Q65" s="135"/>
      <c r="R65" s="135"/>
      <c r="S65" s="135"/>
      <c r="T65" s="135"/>
      <c r="U65" s="135"/>
      <c r="V65" s="135"/>
      <c r="W65" s="135"/>
      <c r="X65" s="135"/>
      <c r="Y65" s="135"/>
      <c r="Z65" s="135"/>
    </row>
    <row r="66" spans="1:26" ht="15" customHeight="1">
      <c r="A66" s="135"/>
      <c r="B66" s="135"/>
      <c r="C66" s="135"/>
      <c r="D66" s="135"/>
      <c r="E66" s="135"/>
      <c r="F66" s="135"/>
      <c r="G66" s="135"/>
      <c r="H66" s="135"/>
      <c r="I66" s="135"/>
      <c r="J66" s="135"/>
      <c r="K66" s="135"/>
      <c r="L66" s="135"/>
      <c r="M66" s="135"/>
      <c r="N66" s="135"/>
      <c r="O66" s="135"/>
      <c r="P66" s="135"/>
      <c r="Q66" s="135"/>
      <c r="R66" s="135"/>
      <c r="S66" s="135"/>
      <c r="T66" s="135"/>
      <c r="U66" s="135"/>
      <c r="V66" s="135"/>
      <c r="W66" s="135"/>
      <c r="X66" s="135"/>
      <c r="Y66" s="135"/>
      <c r="Z66" s="135"/>
    </row>
    <row r="67" spans="1:26" ht="15" customHeight="1">
      <c r="A67" s="135"/>
      <c r="B67" s="135"/>
      <c r="C67" s="135"/>
      <c r="D67" s="135"/>
      <c r="E67" s="135"/>
      <c r="F67" s="135"/>
      <c r="G67" s="135"/>
      <c r="H67" s="135"/>
      <c r="I67" s="135"/>
      <c r="J67" s="135"/>
      <c r="K67" s="135"/>
      <c r="L67" s="135"/>
      <c r="M67" s="135"/>
      <c r="N67" s="135"/>
      <c r="O67" s="135"/>
      <c r="P67" s="135"/>
      <c r="Q67" s="135"/>
      <c r="R67" s="135"/>
      <c r="S67" s="135"/>
      <c r="T67" s="135"/>
      <c r="U67" s="135"/>
      <c r="V67" s="135"/>
      <c r="W67" s="135"/>
      <c r="X67" s="135"/>
      <c r="Y67" s="135"/>
      <c r="Z67" s="135"/>
    </row>
    <row r="68" spans="1:26" ht="15" customHeight="1">
      <c r="A68" s="135"/>
      <c r="B68" s="135"/>
      <c r="C68" s="135"/>
      <c r="D68" s="135"/>
      <c r="E68" s="135"/>
      <c r="F68" s="135"/>
      <c r="G68" s="135"/>
      <c r="H68" s="135"/>
      <c r="I68" s="135"/>
      <c r="J68" s="135"/>
      <c r="K68" s="135"/>
      <c r="L68" s="135"/>
      <c r="M68" s="135"/>
      <c r="N68" s="135"/>
      <c r="O68" s="135"/>
      <c r="P68" s="135"/>
      <c r="Q68" s="135"/>
      <c r="R68" s="135"/>
      <c r="S68" s="135"/>
      <c r="T68" s="135"/>
      <c r="U68" s="135"/>
      <c r="V68" s="135"/>
      <c r="W68" s="135"/>
      <c r="X68" s="135"/>
      <c r="Y68" s="135"/>
      <c r="Z68" s="135"/>
    </row>
    <row r="69" spans="1:26" ht="15" customHeight="1">
      <c r="A69" s="135"/>
      <c r="B69" s="135"/>
      <c r="C69" s="135"/>
      <c r="D69" s="135"/>
      <c r="E69" s="135"/>
      <c r="F69" s="135"/>
      <c r="G69" s="135"/>
      <c r="H69" s="135"/>
      <c r="I69" s="135"/>
      <c r="J69" s="135"/>
      <c r="K69" s="135"/>
      <c r="L69" s="135"/>
      <c r="M69" s="135"/>
      <c r="N69" s="135"/>
      <c r="O69" s="135"/>
      <c r="P69" s="135"/>
      <c r="Q69" s="135"/>
      <c r="R69" s="135"/>
      <c r="S69" s="135"/>
      <c r="T69" s="135"/>
      <c r="U69" s="135"/>
      <c r="V69" s="135"/>
      <c r="W69" s="135"/>
      <c r="X69" s="135"/>
      <c r="Y69" s="135"/>
      <c r="Z69" s="135"/>
    </row>
    <row r="70" spans="1:26" ht="15" customHeight="1">
      <c r="A70" s="135"/>
      <c r="B70" s="135"/>
      <c r="C70" s="135"/>
      <c r="D70" s="135"/>
      <c r="E70" s="135"/>
      <c r="F70" s="135"/>
      <c r="G70" s="135"/>
      <c r="H70" s="135"/>
      <c r="I70" s="135"/>
      <c r="J70" s="135"/>
      <c r="K70" s="135"/>
      <c r="L70" s="135"/>
      <c r="M70" s="135"/>
      <c r="N70" s="135"/>
      <c r="O70" s="135"/>
      <c r="P70" s="135"/>
      <c r="Q70" s="135"/>
      <c r="R70" s="135"/>
      <c r="S70" s="135"/>
      <c r="T70" s="135"/>
      <c r="U70" s="135"/>
      <c r="V70" s="135"/>
      <c r="W70" s="135"/>
      <c r="X70" s="135"/>
      <c r="Y70" s="135"/>
      <c r="Z70" s="135"/>
    </row>
    <row r="71" spans="1:26" ht="15" customHeight="1">
      <c r="A71" s="135"/>
      <c r="B71" s="135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X71" s="135"/>
      <c r="Y71" s="135"/>
      <c r="Z71" s="135"/>
    </row>
    <row r="72" spans="1:26" ht="15" customHeight="1">
      <c r="A72" s="135"/>
      <c r="B72" s="135"/>
      <c r="C72" s="135"/>
      <c r="D72" s="135"/>
      <c r="E72" s="135"/>
      <c r="F72" s="135"/>
      <c r="G72" s="135"/>
      <c r="H72" s="135"/>
      <c r="I72" s="135"/>
      <c r="J72" s="135"/>
      <c r="K72" s="135"/>
      <c r="L72" s="135"/>
      <c r="M72" s="135"/>
      <c r="N72" s="135"/>
      <c r="O72" s="135"/>
      <c r="P72" s="135"/>
      <c r="Q72" s="135"/>
      <c r="R72" s="135"/>
      <c r="S72" s="135"/>
      <c r="T72" s="135"/>
      <c r="U72" s="135"/>
      <c r="V72" s="135"/>
      <c r="W72" s="135"/>
      <c r="X72" s="135"/>
      <c r="Y72" s="135"/>
      <c r="Z72" s="135"/>
    </row>
    <row r="73" spans="1:26" ht="15" customHeight="1">
      <c r="A73" s="135"/>
      <c r="B73" s="135"/>
      <c r="C73" s="135"/>
      <c r="D73" s="135"/>
      <c r="E73" s="135"/>
      <c r="F73" s="135"/>
      <c r="G73" s="135"/>
      <c r="H73" s="135"/>
      <c r="I73" s="135"/>
      <c r="J73" s="135"/>
      <c r="K73" s="135"/>
      <c r="L73" s="135"/>
      <c r="M73" s="135"/>
      <c r="N73" s="135"/>
      <c r="O73" s="135"/>
      <c r="P73" s="135"/>
      <c r="Q73" s="135"/>
      <c r="R73" s="135"/>
      <c r="S73" s="135"/>
      <c r="T73" s="135"/>
      <c r="U73" s="135"/>
      <c r="V73" s="135"/>
      <c r="W73" s="135"/>
      <c r="X73" s="135"/>
      <c r="Y73" s="135"/>
      <c r="Z73" s="135"/>
    </row>
    <row r="74" spans="1:26" ht="15" customHeight="1">
      <c r="A74" s="135"/>
      <c r="B74" s="135"/>
      <c r="C74" s="135"/>
      <c r="D74" s="135"/>
      <c r="E74" s="135"/>
      <c r="F74" s="135"/>
      <c r="G74" s="135"/>
      <c r="H74" s="135"/>
      <c r="I74" s="135"/>
      <c r="J74" s="135"/>
      <c r="K74" s="135"/>
      <c r="L74" s="135"/>
      <c r="M74" s="135"/>
      <c r="N74" s="135"/>
      <c r="O74" s="135"/>
      <c r="P74" s="135"/>
      <c r="Q74" s="135"/>
      <c r="R74" s="135"/>
      <c r="S74" s="135"/>
      <c r="T74" s="135"/>
      <c r="U74" s="135"/>
      <c r="V74" s="135"/>
      <c r="W74" s="135"/>
      <c r="X74" s="135"/>
      <c r="Y74" s="135"/>
      <c r="Z74" s="135"/>
    </row>
    <row r="75" spans="1:26" ht="15" customHeight="1">
      <c r="A75" s="135"/>
      <c r="B75" s="135"/>
      <c r="C75" s="135"/>
      <c r="D75" s="135"/>
      <c r="E75" s="135"/>
      <c r="F75" s="135"/>
      <c r="G75" s="135"/>
      <c r="H75" s="135"/>
      <c r="I75" s="135"/>
      <c r="J75" s="135"/>
      <c r="K75" s="135"/>
      <c r="L75" s="135"/>
      <c r="M75" s="135"/>
      <c r="N75" s="135"/>
      <c r="O75" s="135"/>
      <c r="P75" s="135"/>
      <c r="Q75" s="135"/>
      <c r="R75" s="135"/>
      <c r="S75" s="135"/>
      <c r="T75" s="135"/>
      <c r="U75" s="135"/>
      <c r="V75" s="135"/>
      <c r="W75" s="135"/>
      <c r="X75" s="135"/>
      <c r="Y75" s="135"/>
      <c r="Z75" s="135"/>
    </row>
    <row r="76" spans="1:26" ht="15" customHeight="1">
      <c r="A76" s="135"/>
      <c r="B76" s="135"/>
      <c r="C76" s="135"/>
      <c r="D76" s="135"/>
      <c r="E76" s="135"/>
      <c r="F76" s="135"/>
      <c r="G76" s="135"/>
      <c r="H76" s="135"/>
      <c r="I76" s="135"/>
      <c r="J76" s="135"/>
      <c r="K76" s="135"/>
      <c r="L76" s="135"/>
      <c r="M76" s="135"/>
      <c r="N76" s="135"/>
      <c r="O76" s="135"/>
      <c r="P76" s="135"/>
      <c r="Q76" s="135"/>
      <c r="R76" s="135"/>
      <c r="S76" s="135"/>
      <c r="T76" s="135"/>
      <c r="U76" s="135"/>
      <c r="V76" s="135"/>
      <c r="W76" s="135"/>
      <c r="X76" s="135"/>
      <c r="Y76" s="135"/>
      <c r="Z76" s="135"/>
    </row>
    <row r="77" spans="1:26" ht="15" customHeight="1">
      <c r="A77" s="135"/>
      <c r="B77" s="135"/>
      <c r="C77" s="135"/>
      <c r="D77" s="135"/>
      <c r="E77" s="135"/>
      <c r="F77" s="135"/>
      <c r="G77" s="135"/>
      <c r="H77" s="135"/>
      <c r="I77" s="135"/>
      <c r="J77" s="135"/>
      <c r="K77" s="135"/>
      <c r="L77" s="135"/>
      <c r="M77" s="135"/>
      <c r="N77" s="135"/>
      <c r="O77" s="135"/>
      <c r="P77" s="135"/>
      <c r="Q77" s="135"/>
      <c r="R77" s="135"/>
      <c r="S77" s="135"/>
      <c r="T77" s="135"/>
      <c r="U77" s="135"/>
      <c r="V77" s="135"/>
      <c r="W77" s="135"/>
      <c r="X77" s="135"/>
      <c r="Y77" s="135"/>
      <c r="Z77" s="135"/>
    </row>
    <row r="78" spans="1:26" ht="15" customHeight="1">
      <c r="A78" s="135"/>
      <c r="B78" s="135"/>
      <c r="C78" s="135"/>
      <c r="D78" s="135"/>
      <c r="E78" s="135"/>
      <c r="F78" s="135"/>
      <c r="G78" s="135"/>
      <c r="H78" s="135"/>
      <c r="I78" s="135"/>
      <c r="J78" s="135"/>
      <c r="K78" s="135"/>
      <c r="L78" s="135"/>
      <c r="M78" s="135"/>
      <c r="N78" s="135"/>
      <c r="O78" s="135"/>
      <c r="P78" s="135"/>
      <c r="Q78" s="135"/>
      <c r="R78" s="135"/>
      <c r="S78" s="135"/>
      <c r="T78" s="135"/>
      <c r="U78" s="135"/>
      <c r="V78" s="135"/>
      <c r="W78" s="135"/>
      <c r="X78" s="135"/>
      <c r="Y78" s="135"/>
      <c r="Z78" s="135"/>
    </row>
    <row r="79" spans="1:26" ht="15" customHeight="1">
      <c r="A79" s="135"/>
      <c r="B79" s="135"/>
      <c r="C79" s="135"/>
      <c r="D79" s="135"/>
      <c r="E79" s="135"/>
      <c r="F79" s="135"/>
      <c r="G79" s="135"/>
      <c r="H79" s="135"/>
      <c r="I79" s="135"/>
      <c r="J79" s="135"/>
      <c r="K79" s="135"/>
      <c r="L79" s="135"/>
      <c r="M79" s="135"/>
      <c r="N79" s="135"/>
      <c r="O79" s="135"/>
      <c r="P79" s="135"/>
      <c r="Q79" s="135"/>
      <c r="R79" s="135"/>
      <c r="S79" s="135"/>
      <c r="T79" s="135"/>
      <c r="U79" s="135"/>
      <c r="V79" s="135"/>
      <c r="W79" s="135"/>
      <c r="X79" s="135"/>
      <c r="Y79" s="135"/>
      <c r="Z79" s="135"/>
    </row>
    <row r="80" spans="1:26" ht="15" customHeight="1">
      <c r="A80" s="135"/>
      <c r="B80" s="135"/>
      <c r="C80" s="135"/>
      <c r="D80" s="135"/>
      <c r="E80" s="135"/>
      <c r="F80" s="135"/>
      <c r="G80" s="135"/>
      <c r="H80" s="135"/>
      <c r="I80" s="135"/>
      <c r="J80" s="135"/>
      <c r="K80" s="135"/>
      <c r="L80" s="135"/>
      <c r="M80" s="135"/>
      <c r="N80" s="135"/>
      <c r="O80" s="135"/>
      <c r="P80" s="135"/>
      <c r="Q80" s="135"/>
      <c r="R80" s="135"/>
      <c r="S80" s="135"/>
      <c r="T80" s="135"/>
      <c r="U80" s="135"/>
      <c r="V80" s="135"/>
      <c r="W80" s="135"/>
      <c r="X80" s="135"/>
      <c r="Y80" s="135"/>
      <c r="Z80" s="135"/>
    </row>
    <row r="81" spans="1:26" ht="15" customHeight="1">
      <c r="A81" s="135"/>
      <c r="B81" s="135"/>
      <c r="C81" s="135"/>
      <c r="D81" s="135"/>
      <c r="E81" s="135"/>
      <c r="F81" s="135"/>
      <c r="G81" s="135"/>
      <c r="H81" s="135"/>
      <c r="I81" s="135"/>
      <c r="J81" s="135"/>
      <c r="K81" s="135"/>
      <c r="L81" s="135"/>
      <c r="M81" s="135"/>
      <c r="N81" s="135"/>
      <c r="O81" s="135"/>
      <c r="P81" s="135"/>
      <c r="Q81" s="135"/>
      <c r="R81" s="135"/>
      <c r="S81" s="135"/>
      <c r="T81" s="135"/>
      <c r="U81" s="135"/>
      <c r="V81" s="135"/>
      <c r="W81" s="135"/>
      <c r="X81" s="135"/>
      <c r="Y81" s="135"/>
      <c r="Z81" s="135"/>
    </row>
    <row r="82" spans="1:26" ht="15" customHeight="1">
      <c r="A82" s="135"/>
      <c r="B82" s="135"/>
      <c r="C82" s="135"/>
      <c r="D82" s="135"/>
      <c r="E82" s="135"/>
      <c r="F82" s="135"/>
      <c r="G82" s="135"/>
      <c r="H82" s="135"/>
      <c r="I82" s="135"/>
      <c r="J82" s="135"/>
      <c r="K82" s="135"/>
      <c r="L82" s="135"/>
      <c r="M82" s="135"/>
      <c r="N82" s="135"/>
      <c r="O82" s="135"/>
      <c r="P82" s="135"/>
      <c r="Q82" s="135"/>
      <c r="R82" s="135"/>
      <c r="S82" s="135"/>
      <c r="T82" s="135"/>
      <c r="U82" s="135"/>
      <c r="V82" s="135"/>
      <c r="W82" s="135"/>
      <c r="X82" s="135"/>
      <c r="Y82" s="135"/>
      <c r="Z82" s="135"/>
    </row>
    <row r="83" spans="1:26" ht="15" customHeight="1">
      <c r="A83" s="135"/>
      <c r="B83" s="135"/>
      <c r="C83" s="135"/>
      <c r="D83" s="135"/>
      <c r="E83" s="135"/>
      <c r="F83" s="135"/>
      <c r="G83" s="135"/>
      <c r="H83" s="135"/>
      <c r="I83" s="135"/>
      <c r="J83" s="135"/>
      <c r="K83" s="135"/>
      <c r="L83" s="135"/>
      <c r="M83" s="135"/>
      <c r="N83" s="135"/>
      <c r="O83" s="135"/>
      <c r="P83" s="135"/>
      <c r="Q83" s="135"/>
      <c r="R83" s="135"/>
      <c r="S83" s="135"/>
      <c r="T83" s="135"/>
      <c r="U83" s="135"/>
      <c r="V83" s="135"/>
      <c r="W83" s="135"/>
      <c r="X83" s="135"/>
      <c r="Y83" s="135"/>
      <c r="Z83" s="135"/>
    </row>
    <row r="84" spans="1:26" ht="15" customHeight="1">
      <c r="A84" s="135"/>
      <c r="B84" s="135"/>
      <c r="C84" s="135"/>
      <c r="D84" s="135"/>
      <c r="E84" s="135"/>
      <c r="F84" s="135"/>
      <c r="G84" s="135"/>
      <c r="H84" s="135"/>
      <c r="I84" s="135"/>
      <c r="J84" s="135"/>
      <c r="K84" s="135"/>
      <c r="L84" s="135"/>
      <c r="M84" s="135"/>
      <c r="N84" s="135"/>
      <c r="O84" s="135"/>
      <c r="P84" s="135"/>
      <c r="Q84" s="135"/>
      <c r="R84" s="135"/>
      <c r="S84" s="135"/>
      <c r="T84" s="135"/>
      <c r="U84" s="135"/>
      <c r="V84" s="135"/>
      <c r="W84" s="135"/>
      <c r="X84" s="135"/>
      <c r="Y84" s="135"/>
      <c r="Z84" s="135"/>
    </row>
    <row r="85" spans="1:26" ht="15" customHeight="1">
      <c r="A85" s="135"/>
      <c r="B85" s="135"/>
      <c r="C85" s="135"/>
      <c r="D85" s="135"/>
      <c r="E85" s="135"/>
      <c r="F85" s="135"/>
      <c r="G85" s="135"/>
      <c r="H85" s="135"/>
      <c r="I85" s="135"/>
      <c r="J85" s="135"/>
      <c r="K85" s="135"/>
      <c r="L85" s="135"/>
      <c r="M85" s="135"/>
      <c r="N85" s="135"/>
      <c r="O85" s="135"/>
      <c r="P85" s="135"/>
      <c r="Q85" s="135"/>
      <c r="R85" s="135"/>
      <c r="S85" s="135"/>
      <c r="T85" s="135"/>
      <c r="U85" s="135"/>
      <c r="V85" s="135"/>
      <c r="W85" s="135"/>
      <c r="X85" s="135"/>
      <c r="Y85" s="135"/>
      <c r="Z85" s="135"/>
    </row>
    <row r="86" spans="1:26" ht="15" customHeight="1">
      <c r="A86" s="135"/>
      <c r="B86" s="135"/>
      <c r="C86" s="135"/>
      <c r="D86" s="135"/>
      <c r="E86" s="135"/>
      <c r="F86" s="135"/>
      <c r="G86" s="135"/>
      <c r="H86" s="135"/>
      <c r="I86" s="135"/>
      <c r="J86" s="135"/>
      <c r="K86" s="135"/>
      <c r="L86" s="135"/>
      <c r="M86" s="135"/>
      <c r="N86" s="135"/>
      <c r="O86" s="135"/>
      <c r="P86" s="135"/>
      <c r="Q86" s="135"/>
      <c r="R86" s="135"/>
      <c r="S86" s="135"/>
      <c r="T86" s="135"/>
      <c r="U86" s="135"/>
      <c r="V86" s="135"/>
      <c r="W86" s="135"/>
      <c r="X86" s="135"/>
      <c r="Y86" s="135"/>
      <c r="Z86" s="135"/>
    </row>
    <row r="87" spans="1:26" ht="15" customHeight="1">
      <c r="A87" s="135"/>
      <c r="B87" s="135"/>
      <c r="C87" s="135"/>
      <c r="D87" s="135"/>
      <c r="E87" s="135"/>
      <c r="F87" s="135"/>
      <c r="G87" s="135"/>
      <c r="H87" s="135"/>
      <c r="I87" s="135"/>
      <c r="J87" s="135"/>
      <c r="K87" s="135"/>
      <c r="L87" s="135"/>
      <c r="M87" s="135"/>
      <c r="N87" s="135"/>
      <c r="O87" s="135"/>
      <c r="P87" s="135"/>
      <c r="Q87" s="135"/>
      <c r="R87" s="135"/>
      <c r="S87" s="135"/>
      <c r="T87" s="135"/>
      <c r="U87" s="135"/>
      <c r="V87" s="135"/>
      <c r="W87" s="135"/>
      <c r="X87" s="135"/>
      <c r="Y87" s="135"/>
      <c r="Z87" s="135"/>
    </row>
    <row r="88" spans="1:26" ht="15" customHeight="1">
      <c r="A88" s="135"/>
      <c r="B88" s="135"/>
      <c r="C88" s="135"/>
      <c r="D88" s="135"/>
      <c r="E88" s="135"/>
      <c r="F88" s="135"/>
      <c r="G88" s="135"/>
      <c r="H88" s="135"/>
      <c r="I88" s="135"/>
      <c r="J88" s="135"/>
      <c r="K88" s="135"/>
      <c r="L88" s="135"/>
      <c r="M88" s="135"/>
      <c r="N88" s="135"/>
      <c r="O88" s="135"/>
      <c r="P88" s="135"/>
      <c r="Q88" s="135"/>
      <c r="R88" s="135"/>
      <c r="S88" s="135"/>
      <c r="T88" s="135"/>
      <c r="U88" s="135"/>
      <c r="V88" s="135"/>
      <c r="W88" s="135"/>
      <c r="X88" s="135"/>
      <c r="Y88" s="135"/>
      <c r="Z88" s="135"/>
    </row>
    <row r="89" spans="1:26" ht="15" customHeight="1">
      <c r="A89" s="135"/>
      <c r="B89" s="135"/>
      <c r="C89" s="135"/>
      <c r="D89" s="135"/>
      <c r="E89" s="135"/>
      <c r="F89" s="135"/>
      <c r="G89" s="135"/>
      <c r="H89" s="135"/>
      <c r="I89" s="135"/>
      <c r="J89" s="135"/>
      <c r="K89" s="135"/>
      <c r="L89" s="135"/>
      <c r="M89" s="135"/>
      <c r="N89" s="135"/>
      <c r="O89" s="135"/>
      <c r="P89" s="135"/>
      <c r="Q89" s="135"/>
      <c r="R89" s="135"/>
      <c r="S89" s="135"/>
      <c r="T89" s="135"/>
      <c r="U89" s="135"/>
      <c r="V89" s="135"/>
      <c r="W89" s="135"/>
      <c r="X89" s="135"/>
      <c r="Y89" s="135"/>
      <c r="Z89" s="135"/>
    </row>
    <row r="90" spans="1:26" ht="15" customHeight="1">
      <c r="A90" s="135"/>
      <c r="B90" s="135"/>
      <c r="C90" s="135"/>
      <c r="D90" s="135"/>
      <c r="E90" s="135"/>
      <c r="F90" s="135"/>
      <c r="G90" s="135"/>
      <c r="H90" s="135"/>
      <c r="I90" s="135"/>
      <c r="J90" s="135"/>
      <c r="K90" s="135"/>
      <c r="L90" s="135"/>
      <c r="M90" s="135"/>
      <c r="N90" s="135"/>
      <c r="O90" s="135"/>
      <c r="P90" s="135"/>
      <c r="Q90" s="135"/>
      <c r="R90" s="135"/>
      <c r="S90" s="135"/>
      <c r="T90" s="135"/>
      <c r="U90" s="135"/>
      <c r="V90" s="135"/>
      <c r="W90" s="135"/>
      <c r="X90" s="135"/>
      <c r="Y90" s="135"/>
      <c r="Z90" s="135"/>
    </row>
    <row r="91" spans="1:26" ht="15" customHeight="1">
      <c r="A91" s="135"/>
      <c r="B91" s="135"/>
      <c r="C91" s="135"/>
      <c r="D91" s="135"/>
      <c r="E91" s="135"/>
      <c r="F91" s="135"/>
      <c r="G91" s="135"/>
      <c r="H91" s="135"/>
      <c r="I91" s="135"/>
      <c r="J91" s="135"/>
      <c r="K91" s="135"/>
      <c r="L91" s="135"/>
      <c r="M91" s="135"/>
      <c r="N91" s="135"/>
      <c r="O91" s="135"/>
      <c r="P91" s="135"/>
      <c r="Q91" s="135"/>
      <c r="R91" s="135"/>
      <c r="S91" s="135"/>
      <c r="T91" s="135"/>
      <c r="U91" s="135"/>
      <c r="V91" s="135"/>
      <c r="W91" s="135"/>
      <c r="X91" s="135"/>
      <c r="Y91" s="135"/>
      <c r="Z91" s="135"/>
    </row>
    <row r="92" spans="1:26" ht="15" customHeight="1">
      <c r="A92" s="135"/>
      <c r="B92" s="135"/>
      <c r="C92" s="135"/>
      <c r="D92" s="135"/>
      <c r="E92" s="135"/>
      <c r="F92" s="135"/>
      <c r="G92" s="135"/>
      <c r="H92" s="135"/>
      <c r="I92" s="135"/>
      <c r="J92" s="135"/>
      <c r="K92" s="135"/>
      <c r="L92" s="135"/>
      <c r="M92" s="135"/>
      <c r="N92" s="135"/>
      <c r="O92" s="135"/>
      <c r="P92" s="135"/>
      <c r="Q92" s="135"/>
      <c r="R92" s="135"/>
      <c r="S92" s="135"/>
      <c r="T92" s="135"/>
      <c r="U92" s="135"/>
      <c r="V92" s="135"/>
      <c r="W92" s="135"/>
      <c r="X92" s="135"/>
      <c r="Y92" s="135"/>
      <c r="Z92" s="135"/>
    </row>
    <row r="93" spans="1:26" ht="15" customHeight="1">
      <c r="A93" s="135"/>
      <c r="B93" s="135"/>
      <c r="C93" s="135"/>
      <c r="D93" s="135"/>
      <c r="E93" s="135"/>
      <c r="F93" s="135"/>
      <c r="G93" s="135"/>
      <c r="H93" s="135"/>
      <c r="I93" s="135"/>
      <c r="J93" s="135"/>
      <c r="K93" s="135"/>
      <c r="L93" s="135"/>
      <c r="M93" s="135"/>
      <c r="N93" s="135"/>
      <c r="O93" s="135"/>
      <c r="P93" s="135"/>
      <c r="Q93" s="135"/>
      <c r="R93" s="135"/>
      <c r="S93" s="135"/>
      <c r="T93" s="135"/>
      <c r="U93" s="135"/>
      <c r="V93" s="135"/>
      <c r="W93" s="135"/>
      <c r="X93" s="135"/>
      <c r="Y93" s="135"/>
      <c r="Z93" s="135"/>
    </row>
    <row r="94" spans="1:26" ht="15" customHeight="1">
      <c r="A94" s="135"/>
      <c r="B94" s="135"/>
      <c r="C94" s="135"/>
      <c r="D94" s="135"/>
      <c r="E94" s="135"/>
      <c r="F94" s="135"/>
      <c r="G94" s="135"/>
      <c r="H94" s="135"/>
      <c r="I94" s="135"/>
      <c r="J94" s="135"/>
      <c r="K94" s="135"/>
      <c r="L94" s="135"/>
      <c r="M94" s="135"/>
      <c r="N94" s="135"/>
      <c r="O94" s="135"/>
      <c r="P94" s="135"/>
      <c r="Q94" s="135"/>
      <c r="R94" s="135"/>
      <c r="S94" s="135"/>
      <c r="T94" s="135"/>
      <c r="U94" s="135"/>
      <c r="V94" s="135"/>
      <c r="W94" s="135"/>
      <c r="X94" s="135"/>
      <c r="Y94" s="135"/>
      <c r="Z94" s="135"/>
    </row>
    <row r="95" spans="1:26" ht="15" customHeight="1">
      <c r="A95" s="135"/>
      <c r="B95" s="135"/>
      <c r="C95" s="135"/>
      <c r="D95" s="135"/>
      <c r="E95" s="135"/>
      <c r="F95" s="135"/>
      <c r="G95" s="135"/>
      <c r="H95" s="135"/>
      <c r="I95" s="135"/>
      <c r="J95" s="135"/>
      <c r="K95" s="135"/>
      <c r="L95" s="135"/>
      <c r="M95" s="135"/>
      <c r="N95" s="135"/>
      <c r="O95" s="135"/>
      <c r="P95" s="135"/>
      <c r="Q95" s="135"/>
      <c r="R95" s="135"/>
      <c r="S95" s="135"/>
      <c r="T95" s="135"/>
      <c r="U95" s="135"/>
      <c r="V95" s="135"/>
      <c r="W95" s="135"/>
      <c r="X95" s="135"/>
      <c r="Y95" s="135"/>
      <c r="Z95" s="135"/>
    </row>
    <row r="96" spans="1:26" ht="15" customHeight="1">
      <c r="A96" s="135"/>
      <c r="B96" s="135"/>
      <c r="C96" s="135"/>
      <c r="D96" s="135"/>
      <c r="E96" s="135"/>
      <c r="F96" s="135"/>
      <c r="G96" s="135"/>
      <c r="H96" s="135"/>
      <c r="I96" s="135"/>
      <c r="J96" s="135"/>
      <c r="K96" s="135"/>
      <c r="L96" s="135"/>
      <c r="M96" s="135"/>
      <c r="N96" s="135"/>
      <c r="O96" s="135"/>
      <c r="P96" s="135"/>
      <c r="Q96" s="135"/>
      <c r="R96" s="135"/>
      <c r="S96" s="135"/>
      <c r="T96" s="135"/>
      <c r="U96" s="135"/>
      <c r="V96" s="135"/>
      <c r="W96" s="135"/>
      <c r="X96" s="135"/>
      <c r="Y96" s="135"/>
      <c r="Z96" s="135"/>
    </row>
    <row r="97" spans="1:26" ht="15" customHeight="1">
      <c r="A97" s="135"/>
      <c r="B97" s="135"/>
      <c r="C97" s="135"/>
      <c r="D97" s="135"/>
      <c r="E97" s="135"/>
      <c r="F97" s="135"/>
      <c r="G97" s="135"/>
      <c r="H97" s="135"/>
      <c r="I97" s="135"/>
      <c r="J97" s="135"/>
      <c r="K97" s="135"/>
      <c r="L97" s="135"/>
      <c r="M97" s="135"/>
      <c r="N97" s="135"/>
      <c r="O97" s="135"/>
      <c r="P97" s="135"/>
      <c r="Q97" s="135"/>
      <c r="R97" s="135"/>
      <c r="S97" s="135"/>
      <c r="T97" s="135"/>
      <c r="U97" s="135"/>
      <c r="V97" s="135"/>
      <c r="W97" s="135"/>
      <c r="X97" s="135"/>
      <c r="Y97" s="135"/>
      <c r="Z97" s="135"/>
    </row>
    <row r="98" spans="1:26" ht="15" customHeight="1">
      <c r="A98" s="135"/>
      <c r="B98" s="135"/>
      <c r="C98" s="135"/>
      <c r="D98" s="135"/>
      <c r="E98" s="135"/>
      <c r="F98" s="135"/>
      <c r="G98" s="135"/>
      <c r="H98" s="135"/>
      <c r="I98" s="135"/>
      <c r="J98" s="135"/>
      <c r="K98" s="135"/>
      <c r="L98" s="135"/>
      <c r="M98" s="135"/>
      <c r="N98" s="135"/>
      <c r="O98" s="135"/>
      <c r="P98" s="135"/>
      <c r="Q98" s="135"/>
      <c r="R98" s="135"/>
      <c r="S98" s="135"/>
      <c r="T98" s="135"/>
      <c r="U98" s="135"/>
      <c r="V98" s="135"/>
      <c r="W98" s="135"/>
      <c r="X98" s="135"/>
      <c r="Y98" s="135"/>
      <c r="Z98" s="135"/>
    </row>
    <row r="99" spans="1:26" ht="15" customHeight="1">
      <c r="A99" s="135"/>
      <c r="B99" s="135"/>
      <c r="C99" s="135"/>
      <c r="D99" s="135"/>
      <c r="E99" s="135"/>
      <c r="F99" s="135"/>
      <c r="G99" s="135"/>
      <c r="H99" s="135"/>
      <c r="I99" s="135"/>
      <c r="J99" s="135"/>
      <c r="K99" s="135"/>
      <c r="L99" s="135"/>
      <c r="M99" s="135"/>
      <c r="N99" s="135"/>
      <c r="O99" s="135"/>
      <c r="P99" s="135"/>
      <c r="Q99" s="135"/>
      <c r="R99" s="135"/>
      <c r="S99" s="135"/>
      <c r="T99" s="135"/>
      <c r="U99" s="135"/>
      <c r="V99" s="135"/>
      <c r="W99" s="135"/>
      <c r="X99" s="135"/>
      <c r="Y99" s="135"/>
      <c r="Z99" s="135"/>
    </row>
    <row r="100" spans="1:26" ht="15" customHeight="1">
      <c r="A100" s="135"/>
      <c r="B100" s="135"/>
      <c r="C100" s="135"/>
      <c r="D100" s="135"/>
      <c r="E100" s="135"/>
      <c r="F100" s="135"/>
      <c r="G100" s="135"/>
      <c r="H100" s="135"/>
      <c r="I100" s="135"/>
      <c r="J100" s="135"/>
      <c r="K100" s="135"/>
      <c r="L100" s="135"/>
      <c r="M100" s="135"/>
      <c r="N100" s="135"/>
      <c r="O100" s="135"/>
      <c r="P100" s="135"/>
      <c r="Q100" s="135"/>
      <c r="R100" s="135"/>
      <c r="S100" s="135"/>
      <c r="T100" s="135"/>
      <c r="U100" s="135"/>
      <c r="V100" s="135"/>
      <c r="W100" s="135"/>
      <c r="X100" s="135"/>
      <c r="Y100" s="135"/>
      <c r="Z100" s="135"/>
    </row>
  </sheetData>
  <mergeCells count="6">
    <mergeCell ref="B25:F25"/>
    <mergeCell ref="A1:F1"/>
    <mergeCell ref="A2:F2"/>
    <mergeCell ref="B21:F21"/>
    <mergeCell ref="B23:F23"/>
    <mergeCell ref="B24:F2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Z100"/>
  <sheetViews>
    <sheetView zoomScaleNormal="100" workbookViewId="0">
      <selection activeCell="B15" sqref="B15:E15"/>
    </sheetView>
  </sheetViews>
  <sheetFormatPr defaultColWidth="8.7109375" defaultRowHeight="15"/>
  <cols>
    <col min="1" max="1" width="33.5703125" style="13" customWidth="1"/>
    <col min="2" max="2" width="21.7109375" style="13" customWidth="1"/>
    <col min="3" max="3" width="21.42578125" style="13" customWidth="1"/>
    <col min="4" max="4" width="21.5703125" style="13" customWidth="1"/>
    <col min="5" max="5" width="22.5703125" style="13" customWidth="1"/>
    <col min="6" max="6" width="19.5703125" style="13" customWidth="1"/>
    <col min="7" max="7" width="19.85546875" style="13" customWidth="1"/>
    <col min="8" max="8" width="19" style="13" customWidth="1"/>
  </cols>
  <sheetData>
    <row r="1" spans="1:26" ht="24" customHeight="1">
      <c r="A1" s="297" t="s">
        <v>849</v>
      </c>
      <c r="B1" s="297"/>
      <c r="C1" s="297"/>
      <c r="D1" s="297"/>
      <c r="E1" s="297"/>
      <c r="F1" s="297"/>
      <c r="G1" s="297"/>
      <c r="H1" s="297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5"/>
    </row>
    <row r="2" spans="1:26" ht="25.5" customHeight="1">
      <c r="A2" s="291" t="s">
        <v>850</v>
      </c>
      <c r="B2" s="291"/>
      <c r="C2" s="291"/>
      <c r="D2" s="291"/>
      <c r="E2" s="291"/>
      <c r="F2" s="291"/>
      <c r="G2" s="291"/>
      <c r="H2" s="291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</row>
    <row r="3" spans="1:26" ht="15" customHeight="1">
      <c r="A3" s="135"/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5"/>
    </row>
    <row r="4" spans="1:26" ht="15" customHeight="1">
      <c r="A4" s="192" t="s">
        <v>851</v>
      </c>
      <c r="B4" s="192" t="s">
        <v>852</v>
      </c>
      <c r="C4" s="192" t="s">
        <v>853</v>
      </c>
      <c r="D4" s="192" t="s">
        <v>854</v>
      </c>
      <c r="E4" s="192" t="s">
        <v>855</v>
      </c>
      <c r="F4" s="192" t="s">
        <v>769</v>
      </c>
      <c r="G4" s="192" t="s">
        <v>856</v>
      </c>
      <c r="H4" s="192" t="s">
        <v>857</v>
      </c>
      <c r="I4" s="135"/>
      <c r="J4" s="135"/>
      <c r="K4" s="135"/>
      <c r="L4" s="135"/>
      <c r="M4" s="135"/>
      <c r="N4" s="135"/>
      <c r="O4" s="135"/>
      <c r="P4" s="135"/>
      <c r="Q4" s="135"/>
      <c r="R4" s="135"/>
      <c r="S4" s="135"/>
      <c r="T4" s="135"/>
      <c r="U4" s="135"/>
      <c r="V4" s="135"/>
      <c r="W4" s="135"/>
      <c r="X4" s="135"/>
      <c r="Y4" s="135"/>
      <c r="Z4" s="135"/>
    </row>
    <row r="5" spans="1:26" ht="15" customHeight="1">
      <c r="A5" s="135" t="s">
        <v>858</v>
      </c>
      <c r="B5" s="135" t="s">
        <v>197</v>
      </c>
      <c r="C5" s="138">
        <v>3646</v>
      </c>
      <c r="D5" s="135">
        <v>73</v>
      </c>
      <c r="E5" s="138">
        <v>49.8</v>
      </c>
      <c r="F5" s="138">
        <f>E5*33</f>
        <v>1643.3999999999999</v>
      </c>
      <c r="G5" s="138">
        <f>C5-F5</f>
        <v>2002.6000000000001</v>
      </c>
      <c r="H5" s="138">
        <f>G5</f>
        <v>2002.6000000000001</v>
      </c>
      <c r="I5" s="135"/>
      <c r="J5" s="135"/>
      <c r="K5" s="135"/>
      <c r="L5" s="135"/>
      <c r="M5" s="135"/>
      <c r="N5" s="135"/>
      <c r="O5" s="135"/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35"/>
    </row>
    <row r="6" spans="1:26" ht="15" customHeight="1">
      <c r="A6" s="135" t="s">
        <v>146</v>
      </c>
      <c r="B6" s="135" t="s">
        <v>197</v>
      </c>
      <c r="C6" s="138">
        <v>522</v>
      </c>
      <c r="D6" s="135">
        <v>36</v>
      </c>
      <c r="E6" s="138">
        <v>14.5</v>
      </c>
      <c r="F6" s="138">
        <f>MIN(C6,E6*33)</f>
        <v>478.5</v>
      </c>
      <c r="G6" s="138">
        <f>C6-F6</f>
        <v>43.5</v>
      </c>
      <c r="H6" s="138">
        <f>G6</f>
        <v>43.5</v>
      </c>
      <c r="I6" s="135"/>
      <c r="J6" s="135"/>
      <c r="K6" s="135"/>
      <c r="L6" s="135"/>
      <c r="M6" s="135"/>
      <c r="N6" s="135"/>
      <c r="O6" s="135"/>
      <c r="P6" s="135"/>
      <c r="Q6" s="135"/>
      <c r="R6" s="135"/>
      <c r="S6" s="135"/>
      <c r="T6" s="135"/>
      <c r="U6" s="135"/>
      <c r="V6" s="135"/>
      <c r="W6" s="135"/>
      <c r="X6" s="135"/>
      <c r="Y6" s="135"/>
      <c r="Z6" s="135"/>
    </row>
    <row r="7" spans="1:26" ht="15" customHeight="1">
      <c r="A7" s="135"/>
      <c r="B7" s="135"/>
      <c r="C7" s="138"/>
      <c r="D7" s="135"/>
      <c r="E7" s="138"/>
      <c r="F7" s="138"/>
      <c r="G7" s="138"/>
      <c r="H7" s="138"/>
      <c r="I7" s="135"/>
      <c r="J7" s="135"/>
      <c r="K7" s="135"/>
      <c r="L7" s="135"/>
      <c r="M7" s="135"/>
      <c r="N7" s="135"/>
      <c r="O7" s="135"/>
      <c r="P7" s="135"/>
      <c r="Q7" s="135"/>
      <c r="R7" s="135"/>
      <c r="S7" s="135"/>
      <c r="T7" s="135"/>
      <c r="U7" s="135"/>
      <c r="V7" s="135"/>
      <c r="W7" s="135"/>
      <c r="X7" s="135"/>
      <c r="Y7" s="135"/>
      <c r="Z7" s="135"/>
    </row>
    <row r="8" spans="1:26" ht="15" customHeight="1">
      <c r="A8" s="139" t="s">
        <v>859</v>
      </c>
      <c r="B8" s="139"/>
      <c r="C8" s="140">
        <f>SUM(C5:C6)</f>
        <v>4168</v>
      </c>
      <c r="D8" s="139"/>
      <c r="E8" s="140">
        <f>SUM(E5:E6)</f>
        <v>64.3</v>
      </c>
      <c r="F8" s="140">
        <f>SUM(F5:F6)</f>
        <v>2121.8999999999996</v>
      </c>
      <c r="G8" s="140">
        <f>SUM(G5:G6)</f>
        <v>2046.1000000000001</v>
      </c>
      <c r="H8" s="140">
        <f>SUM(H5:H6)</f>
        <v>2046.1000000000001</v>
      </c>
      <c r="I8" s="135"/>
      <c r="J8" s="135"/>
      <c r="K8" s="135"/>
      <c r="L8" s="135"/>
      <c r="M8" s="135"/>
      <c r="N8" s="135"/>
      <c r="O8" s="135"/>
      <c r="P8" s="135"/>
      <c r="Q8" s="135"/>
      <c r="R8" s="135"/>
      <c r="S8" s="135"/>
      <c r="T8" s="135"/>
      <c r="U8" s="135"/>
      <c r="V8" s="135"/>
      <c r="W8" s="135"/>
      <c r="X8" s="135"/>
      <c r="Y8" s="135"/>
      <c r="Z8" s="135"/>
    </row>
    <row r="9" spans="1:26" ht="15" customHeight="1">
      <c r="A9" s="135"/>
      <c r="B9" s="135"/>
      <c r="C9" s="135"/>
      <c r="D9" s="135"/>
      <c r="E9" s="135"/>
      <c r="F9" s="135"/>
      <c r="G9" s="135"/>
      <c r="H9" s="135"/>
      <c r="I9" s="135"/>
      <c r="J9" s="135"/>
      <c r="K9" s="135"/>
      <c r="L9" s="135"/>
      <c r="M9" s="135"/>
      <c r="N9" s="135"/>
      <c r="O9" s="135"/>
      <c r="P9" s="135"/>
      <c r="Q9" s="135"/>
      <c r="R9" s="135"/>
      <c r="S9" s="135"/>
      <c r="T9" s="135"/>
      <c r="U9" s="135"/>
      <c r="V9" s="135"/>
      <c r="W9" s="135"/>
      <c r="X9" s="135"/>
      <c r="Y9" s="135"/>
      <c r="Z9" s="135"/>
    </row>
    <row r="10" spans="1:26" ht="15" customHeight="1">
      <c r="A10" s="228" t="s">
        <v>860</v>
      </c>
      <c r="B10" s="228" t="s">
        <v>559</v>
      </c>
      <c r="C10" s="228" t="s">
        <v>560</v>
      </c>
      <c r="D10" s="228" t="s">
        <v>561</v>
      </c>
      <c r="E10" s="228" t="s">
        <v>562</v>
      </c>
      <c r="F10" s="135"/>
      <c r="G10" s="135"/>
      <c r="H10" s="135"/>
      <c r="I10" s="135"/>
      <c r="J10" s="135"/>
      <c r="K10" s="135"/>
      <c r="L10" s="135"/>
      <c r="M10" s="135"/>
      <c r="N10" s="135"/>
      <c r="O10" s="135"/>
      <c r="P10" s="135"/>
      <c r="Q10" s="135"/>
      <c r="R10" s="135"/>
      <c r="S10" s="135"/>
      <c r="T10" s="135"/>
      <c r="U10" s="135"/>
      <c r="V10" s="135"/>
      <c r="W10" s="135"/>
      <c r="X10" s="135"/>
      <c r="Y10" s="135"/>
      <c r="Z10" s="135"/>
    </row>
    <row r="11" spans="1:26" ht="15" customHeight="1">
      <c r="A11" s="135" t="s">
        <v>861</v>
      </c>
      <c r="B11" s="138">
        <f>MAX(0,SUM($C$5:$C$6)-($E$5+$E$6)*2)</f>
        <v>4039.4</v>
      </c>
      <c r="C11" s="138">
        <f>MAX(0,SUM($C$5:$C$6)-($E$5+$E$6)*14)</f>
        <v>3267.8</v>
      </c>
      <c r="D11" s="138">
        <f>MAX(0,SUM($C$5:$C$6)-($E$5+$E$6)*26)</f>
        <v>2496.1999999999998</v>
      </c>
      <c r="E11" s="138">
        <f>MAX(0,SUM($C$5:$C$6)-($E$5+$E$6)*33)</f>
        <v>2046.1</v>
      </c>
      <c r="F11" s="135"/>
      <c r="G11" s="135"/>
      <c r="H11" s="135"/>
      <c r="I11" s="135"/>
      <c r="J11" s="135"/>
      <c r="K11" s="135"/>
      <c r="L11" s="135"/>
      <c r="M11" s="135"/>
      <c r="N11" s="135"/>
      <c r="O11" s="135"/>
      <c r="P11" s="135"/>
      <c r="Q11" s="135"/>
      <c r="R11" s="135"/>
      <c r="S11" s="135"/>
      <c r="T11" s="135"/>
      <c r="U11" s="135"/>
      <c r="V11" s="135"/>
      <c r="W11" s="135"/>
      <c r="X11" s="135"/>
      <c r="Y11" s="135"/>
      <c r="Z11" s="135"/>
    </row>
    <row r="12" spans="1:26" ht="15" customHeight="1">
      <c r="A12" s="225"/>
      <c r="B12" s="300"/>
      <c r="C12" s="300"/>
      <c r="D12" s="300"/>
      <c r="E12" s="300"/>
      <c r="F12" s="300"/>
      <c r="G12" s="300"/>
      <c r="H12" s="300"/>
      <c r="I12" s="135"/>
      <c r="J12" s="135"/>
      <c r="K12" s="135"/>
      <c r="L12" s="135"/>
      <c r="M12" s="135"/>
      <c r="N12" s="135"/>
      <c r="O12" s="135"/>
      <c r="P12" s="135"/>
      <c r="Q12" s="135"/>
      <c r="R12" s="135"/>
      <c r="S12" s="135"/>
      <c r="T12" s="135"/>
      <c r="U12" s="135"/>
      <c r="V12" s="135"/>
      <c r="W12" s="135"/>
      <c r="X12" s="135"/>
      <c r="Y12" s="135"/>
      <c r="Z12" s="135"/>
    </row>
    <row r="13" spans="1:26" ht="15" customHeight="1">
      <c r="A13" s="135" t="s">
        <v>862</v>
      </c>
      <c r="B13" s="135" t="s">
        <v>863</v>
      </c>
      <c r="C13" s="135"/>
      <c r="D13" s="135"/>
      <c r="E13" s="135"/>
      <c r="F13" s="135"/>
      <c r="G13" s="135"/>
      <c r="H13" s="135"/>
      <c r="I13" s="135"/>
      <c r="J13" s="135"/>
      <c r="K13" s="135"/>
      <c r="L13" s="135"/>
      <c r="M13" s="135"/>
      <c r="N13" s="135"/>
      <c r="O13" s="135"/>
      <c r="P13" s="135"/>
      <c r="Q13" s="135"/>
      <c r="R13" s="135"/>
      <c r="S13" s="135"/>
      <c r="T13" s="135"/>
      <c r="U13" s="135"/>
      <c r="V13" s="135"/>
      <c r="W13" s="135"/>
      <c r="X13" s="135"/>
      <c r="Y13" s="135"/>
      <c r="Z13" s="135"/>
    </row>
    <row r="14" spans="1:26" ht="36" customHeight="1">
      <c r="A14" s="143" t="s">
        <v>864</v>
      </c>
      <c r="B14" s="307" t="s">
        <v>865</v>
      </c>
      <c r="C14" s="307"/>
      <c r="D14" s="307"/>
      <c r="E14" s="307"/>
      <c r="F14" s="144"/>
      <c r="G14" s="144"/>
      <c r="H14" s="144"/>
      <c r="I14" s="135"/>
      <c r="J14" s="135"/>
      <c r="K14" s="135"/>
      <c r="L14" s="135"/>
      <c r="M14" s="135"/>
      <c r="N14" s="135"/>
      <c r="O14" s="135"/>
      <c r="P14" s="135"/>
      <c r="Q14" s="135"/>
      <c r="R14" s="135"/>
      <c r="S14" s="135"/>
      <c r="T14" s="135"/>
      <c r="U14" s="135"/>
      <c r="V14" s="135"/>
      <c r="W14" s="135"/>
      <c r="X14" s="135"/>
      <c r="Y14" s="135"/>
      <c r="Z14" s="135"/>
    </row>
    <row r="15" spans="1:26" ht="37.5" customHeight="1">
      <c r="A15" s="143" t="s">
        <v>866</v>
      </c>
      <c r="B15" s="335" t="s">
        <v>867</v>
      </c>
      <c r="C15" s="335"/>
      <c r="D15" s="335"/>
      <c r="E15" s="335"/>
      <c r="F15" s="144"/>
      <c r="G15" s="144"/>
      <c r="H15" s="144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5"/>
    </row>
    <row r="16" spans="1:26" ht="31.5" customHeight="1">
      <c r="I16" s="135"/>
      <c r="J16" s="135"/>
      <c r="K16" s="135"/>
      <c r="L16" s="135"/>
      <c r="M16" s="135"/>
      <c r="N16" s="135"/>
      <c r="O16" s="135"/>
      <c r="P16" s="135"/>
      <c r="Q16" s="135"/>
      <c r="R16" s="135"/>
      <c r="S16" s="135"/>
      <c r="T16" s="135"/>
      <c r="U16" s="135"/>
      <c r="V16" s="135"/>
      <c r="W16" s="135"/>
      <c r="X16" s="135"/>
      <c r="Y16" s="135"/>
      <c r="Z16" s="135"/>
    </row>
    <row r="17" spans="1:26" ht="15" customHeight="1">
      <c r="A17" s="135"/>
      <c r="B17" s="135"/>
      <c r="C17" s="135"/>
      <c r="D17" s="135"/>
      <c r="E17" s="135"/>
      <c r="F17" s="135"/>
      <c r="G17" s="135"/>
      <c r="H17" s="135"/>
      <c r="I17" s="135"/>
      <c r="J17" s="135"/>
      <c r="K17" s="135"/>
      <c r="L17" s="135"/>
      <c r="M17" s="135"/>
      <c r="N17" s="135"/>
      <c r="O17" s="135"/>
      <c r="P17" s="135"/>
      <c r="Q17" s="135"/>
      <c r="R17" s="135"/>
      <c r="S17" s="135"/>
      <c r="T17" s="135"/>
      <c r="U17" s="135"/>
      <c r="V17" s="135"/>
      <c r="W17" s="135"/>
      <c r="X17" s="135"/>
      <c r="Y17" s="135"/>
      <c r="Z17" s="135"/>
    </row>
    <row r="18" spans="1:26" ht="15" customHeight="1">
      <c r="A18" s="135"/>
      <c r="B18" s="135"/>
      <c r="C18" s="135"/>
      <c r="D18" s="135"/>
      <c r="E18" s="135"/>
      <c r="F18" s="135"/>
      <c r="G18" s="135"/>
      <c r="H18" s="135"/>
      <c r="I18" s="135"/>
      <c r="J18" s="135"/>
      <c r="K18" s="135"/>
      <c r="L18" s="135"/>
      <c r="M18" s="135"/>
      <c r="N18" s="135"/>
      <c r="O18" s="135"/>
      <c r="P18" s="135"/>
      <c r="Q18" s="135"/>
      <c r="R18" s="135"/>
      <c r="S18" s="135"/>
      <c r="T18" s="135"/>
      <c r="U18" s="135"/>
      <c r="V18" s="135"/>
      <c r="W18" s="135"/>
      <c r="X18" s="135"/>
      <c r="Y18" s="135"/>
      <c r="Z18" s="135"/>
    </row>
    <row r="19" spans="1:26" ht="15" customHeight="1">
      <c r="A19" s="135"/>
      <c r="B19" s="135"/>
      <c r="C19" s="135"/>
      <c r="D19" s="135"/>
      <c r="E19" s="135"/>
      <c r="F19" s="135"/>
      <c r="G19" s="135"/>
      <c r="H19" s="135"/>
      <c r="I19" s="135"/>
      <c r="J19" s="135"/>
      <c r="K19" s="135"/>
      <c r="L19" s="135"/>
      <c r="M19" s="135"/>
      <c r="N19" s="135"/>
      <c r="O19" s="135"/>
      <c r="P19" s="135"/>
      <c r="Q19" s="135"/>
      <c r="R19" s="135"/>
      <c r="S19" s="135"/>
      <c r="T19" s="135"/>
      <c r="U19" s="135"/>
      <c r="V19" s="135"/>
      <c r="W19" s="135"/>
      <c r="X19" s="135"/>
      <c r="Y19" s="135"/>
      <c r="Z19" s="135"/>
    </row>
    <row r="20" spans="1:26" ht="15" customHeight="1">
      <c r="A20" s="135"/>
      <c r="B20" s="135"/>
      <c r="C20" s="135"/>
      <c r="D20" s="135"/>
      <c r="E20" s="135"/>
      <c r="F20" s="135"/>
      <c r="G20" s="135"/>
      <c r="H20" s="135"/>
      <c r="I20" s="135"/>
      <c r="J20" s="135"/>
      <c r="K20" s="135"/>
      <c r="L20" s="135"/>
      <c r="M20" s="135"/>
      <c r="N20" s="135"/>
      <c r="O20" s="135"/>
      <c r="P20" s="135"/>
      <c r="Q20" s="135"/>
      <c r="R20" s="135"/>
      <c r="S20" s="135"/>
      <c r="T20" s="135"/>
      <c r="U20" s="135"/>
      <c r="V20" s="135"/>
      <c r="W20" s="135"/>
      <c r="X20" s="135"/>
      <c r="Y20" s="135"/>
      <c r="Z20" s="135"/>
    </row>
    <row r="21" spans="1:26" ht="15" customHeight="1">
      <c r="A21" s="135"/>
      <c r="B21" s="135"/>
      <c r="C21" s="135"/>
      <c r="D21" s="135"/>
      <c r="E21" s="135"/>
      <c r="F21" s="135"/>
      <c r="G21" s="135"/>
      <c r="H21" s="135"/>
      <c r="I21" s="135"/>
      <c r="J21" s="135"/>
      <c r="K21" s="135"/>
      <c r="L21" s="135"/>
      <c r="M21" s="135"/>
      <c r="N21" s="135"/>
      <c r="O21" s="135"/>
      <c r="P21" s="135"/>
      <c r="Q21" s="135"/>
      <c r="R21" s="135"/>
      <c r="S21" s="135"/>
      <c r="T21" s="135"/>
      <c r="U21" s="135"/>
      <c r="V21" s="135"/>
      <c r="W21" s="135"/>
      <c r="X21" s="135"/>
      <c r="Y21" s="135"/>
      <c r="Z21" s="135"/>
    </row>
    <row r="22" spans="1:26" ht="15" customHeight="1">
      <c r="A22" s="135"/>
      <c r="B22" s="135"/>
      <c r="C22" s="135"/>
      <c r="D22" s="135"/>
      <c r="E22" s="135"/>
      <c r="F22" s="135"/>
      <c r="G22" s="135"/>
      <c r="H22" s="135"/>
      <c r="I22" s="135"/>
      <c r="J22" s="135"/>
      <c r="K22" s="135"/>
      <c r="L22" s="135"/>
      <c r="M22" s="135"/>
      <c r="N22" s="135"/>
      <c r="O22" s="135"/>
      <c r="P22" s="135"/>
      <c r="Q22" s="135"/>
      <c r="R22" s="135"/>
      <c r="S22" s="135"/>
      <c r="T22" s="135"/>
      <c r="U22" s="135"/>
      <c r="V22" s="135"/>
      <c r="W22" s="135"/>
      <c r="X22" s="135"/>
      <c r="Y22" s="135"/>
      <c r="Z22" s="135"/>
    </row>
    <row r="23" spans="1:26" ht="15" customHeight="1">
      <c r="A23" s="135"/>
      <c r="B23" s="135"/>
      <c r="C23" s="135"/>
      <c r="D23" s="135"/>
      <c r="E23" s="135"/>
      <c r="F23" s="135"/>
      <c r="G23" s="135"/>
      <c r="H23" s="135"/>
      <c r="I23" s="135"/>
      <c r="J23" s="135"/>
      <c r="K23" s="135"/>
      <c r="L23" s="135"/>
      <c r="M23" s="135"/>
      <c r="N23" s="135"/>
      <c r="O23" s="135"/>
      <c r="P23" s="135"/>
      <c r="Q23" s="135"/>
      <c r="R23" s="135"/>
      <c r="S23" s="135"/>
      <c r="T23" s="135"/>
      <c r="U23" s="135"/>
      <c r="V23" s="135"/>
      <c r="W23" s="135"/>
      <c r="X23" s="135"/>
      <c r="Y23" s="135"/>
      <c r="Z23" s="135"/>
    </row>
    <row r="24" spans="1:26" ht="15" customHeight="1">
      <c r="A24" s="135"/>
      <c r="B24" s="135"/>
      <c r="C24" s="135"/>
      <c r="D24" s="135"/>
      <c r="E24" s="135"/>
      <c r="F24" s="135"/>
      <c r="G24" s="135"/>
      <c r="H24" s="135"/>
      <c r="I24" s="135"/>
      <c r="J24" s="135"/>
      <c r="K24" s="135"/>
      <c r="L24" s="135"/>
      <c r="M24" s="135"/>
      <c r="N24" s="135"/>
      <c r="O24" s="135"/>
      <c r="P24" s="135"/>
      <c r="Q24" s="135"/>
      <c r="R24" s="135"/>
      <c r="S24" s="135"/>
      <c r="T24" s="135"/>
      <c r="U24" s="135"/>
      <c r="V24" s="135"/>
      <c r="W24" s="135"/>
      <c r="X24" s="135"/>
      <c r="Y24" s="135"/>
      <c r="Z24" s="135"/>
    </row>
    <row r="25" spans="1:26" ht="15" customHeight="1">
      <c r="A25" s="135"/>
      <c r="B25" s="135"/>
      <c r="C25" s="135"/>
      <c r="D25" s="135"/>
      <c r="E25" s="135"/>
      <c r="F25" s="135"/>
      <c r="G25" s="135"/>
      <c r="H25" s="135"/>
      <c r="I25" s="135"/>
      <c r="J25" s="135"/>
      <c r="K25" s="135"/>
      <c r="L25" s="135"/>
      <c r="M25" s="135"/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35"/>
      <c r="Y25" s="135"/>
      <c r="Z25" s="135"/>
    </row>
    <row r="26" spans="1:26" ht="15" customHeight="1">
      <c r="A26" s="135"/>
      <c r="B26" s="135"/>
      <c r="C26" s="135"/>
      <c r="D26" s="135"/>
      <c r="E26" s="135"/>
      <c r="F26" s="135"/>
      <c r="G26" s="135"/>
      <c r="H26" s="135"/>
      <c r="I26" s="135"/>
      <c r="J26" s="135"/>
      <c r="K26" s="135"/>
      <c r="L26" s="135"/>
      <c r="M26" s="135"/>
      <c r="N26" s="135"/>
      <c r="O26" s="135"/>
      <c r="P26" s="135"/>
      <c r="Q26" s="135"/>
      <c r="R26" s="135"/>
      <c r="S26" s="135"/>
      <c r="T26" s="135"/>
      <c r="U26" s="135"/>
      <c r="V26" s="135"/>
      <c r="W26" s="135"/>
      <c r="X26" s="135"/>
      <c r="Y26" s="135"/>
      <c r="Z26" s="135"/>
    </row>
    <row r="27" spans="1:26" ht="15" customHeight="1">
      <c r="A27" s="135"/>
      <c r="B27" s="135"/>
      <c r="C27" s="135"/>
      <c r="D27" s="135"/>
      <c r="E27" s="135"/>
      <c r="F27" s="135"/>
      <c r="G27" s="135"/>
      <c r="H27" s="135"/>
      <c r="I27" s="135"/>
      <c r="J27" s="135"/>
      <c r="K27" s="135"/>
      <c r="L27" s="135"/>
      <c r="M27" s="135"/>
      <c r="N27" s="135"/>
      <c r="O27" s="135"/>
      <c r="P27" s="135"/>
      <c r="Q27" s="135"/>
      <c r="R27" s="135"/>
      <c r="S27" s="135"/>
      <c r="T27" s="135"/>
      <c r="U27" s="135"/>
      <c r="V27" s="135"/>
      <c r="W27" s="135"/>
      <c r="X27" s="135"/>
      <c r="Y27" s="135"/>
      <c r="Z27" s="135"/>
    </row>
    <row r="28" spans="1:26" ht="15" customHeight="1">
      <c r="A28" s="135"/>
      <c r="B28" s="135"/>
      <c r="C28" s="135"/>
      <c r="D28" s="135"/>
      <c r="E28" s="135"/>
      <c r="F28" s="135"/>
      <c r="G28" s="135"/>
      <c r="H28" s="135"/>
      <c r="I28" s="135"/>
      <c r="J28" s="135"/>
      <c r="K28" s="135"/>
      <c r="L28" s="135"/>
      <c r="M28" s="135"/>
      <c r="N28" s="135"/>
      <c r="O28" s="135"/>
      <c r="P28" s="135"/>
      <c r="Q28" s="135"/>
      <c r="R28" s="135"/>
      <c r="S28" s="135"/>
      <c r="T28" s="135"/>
      <c r="U28" s="135"/>
      <c r="V28" s="135"/>
      <c r="W28" s="135"/>
      <c r="X28" s="135"/>
      <c r="Y28" s="135"/>
      <c r="Z28" s="135"/>
    </row>
    <row r="29" spans="1:26" ht="15" customHeight="1">
      <c r="A29" s="135"/>
      <c r="B29" s="135"/>
      <c r="C29" s="135"/>
      <c r="D29" s="135"/>
      <c r="E29" s="135"/>
      <c r="F29" s="135"/>
      <c r="G29" s="135"/>
      <c r="H29" s="135"/>
      <c r="I29" s="135"/>
      <c r="J29" s="135"/>
      <c r="K29" s="135"/>
      <c r="L29" s="135"/>
      <c r="M29" s="135"/>
      <c r="N29" s="135"/>
      <c r="O29" s="135"/>
      <c r="P29" s="135"/>
      <c r="Q29" s="135"/>
      <c r="R29" s="135"/>
      <c r="S29" s="135"/>
      <c r="T29" s="135"/>
      <c r="U29" s="135"/>
      <c r="V29" s="135"/>
      <c r="W29" s="135"/>
      <c r="X29" s="135"/>
      <c r="Y29" s="135"/>
      <c r="Z29" s="135"/>
    </row>
    <row r="30" spans="1:26" ht="15" customHeight="1">
      <c r="A30" s="135"/>
      <c r="B30" s="135"/>
      <c r="C30" s="135"/>
      <c r="D30" s="135"/>
      <c r="E30" s="135"/>
      <c r="F30" s="135"/>
      <c r="G30" s="135"/>
      <c r="H30" s="135"/>
      <c r="I30" s="135"/>
      <c r="J30" s="135"/>
      <c r="K30" s="135"/>
      <c r="L30" s="135"/>
      <c r="M30" s="135"/>
      <c r="N30" s="135"/>
      <c r="O30" s="135"/>
      <c r="P30" s="135"/>
      <c r="Q30" s="135"/>
      <c r="R30" s="135"/>
      <c r="S30" s="135"/>
      <c r="T30" s="135"/>
      <c r="U30" s="135"/>
      <c r="V30" s="135"/>
      <c r="W30" s="135"/>
      <c r="X30" s="135"/>
      <c r="Y30" s="135"/>
      <c r="Z30" s="135"/>
    </row>
    <row r="31" spans="1:26" ht="15" customHeight="1">
      <c r="A31" s="135"/>
      <c r="B31" s="135"/>
      <c r="C31" s="135"/>
      <c r="D31" s="135"/>
      <c r="E31" s="135"/>
      <c r="F31" s="135"/>
      <c r="G31" s="135"/>
      <c r="H31" s="135"/>
      <c r="I31" s="135"/>
      <c r="J31" s="135"/>
      <c r="K31" s="135"/>
      <c r="L31" s="135"/>
      <c r="M31" s="135"/>
      <c r="N31" s="135"/>
      <c r="O31" s="135"/>
      <c r="P31" s="135"/>
      <c r="Q31" s="135"/>
      <c r="R31" s="135"/>
      <c r="S31" s="135"/>
      <c r="T31" s="135"/>
      <c r="U31" s="135"/>
      <c r="V31" s="135"/>
      <c r="W31" s="135"/>
      <c r="X31" s="135"/>
      <c r="Y31" s="135"/>
      <c r="Z31" s="135"/>
    </row>
    <row r="32" spans="1:26" ht="15" customHeight="1">
      <c r="A32" s="135"/>
      <c r="B32" s="135"/>
      <c r="C32" s="135"/>
      <c r="D32" s="135"/>
      <c r="E32" s="135"/>
      <c r="F32" s="135"/>
      <c r="G32" s="135"/>
      <c r="H32" s="135"/>
      <c r="I32" s="135"/>
      <c r="J32" s="135"/>
      <c r="K32" s="135"/>
      <c r="L32" s="135"/>
      <c r="M32" s="135"/>
      <c r="N32" s="135"/>
      <c r="O32" s="135"/>
      <c r="P32" s="135"/>
      <c r="Q32" s="135"/>
      <c r="R32" s="135"/>
      <c r="S32" s="135"/>
      <c r="T32" s="135"/>
      <c r="U32" s="135"/>
      <c r="V32" s="135"/>
      <c r="W32" s="135"/>
      <c r="X32" s="135"/>
      <c r="Y32" s="135"/>
      <c r="Z32" s="135"/>
    </row>
    <row r="33" spans="1:26" ht="15" customHeight="1">
      <c r="A33" s="135"/>
      <c r="B33" s="135"/>
      <c r="C33" s="135"/>
      <c r="D33" s="135"/>
      <c r="E33" s="135"/>
      <c r="F33" s="135"/>
      <c r="G33" s="135"/>
      <c r="H33" s="135"/>
      <c r="I33" s="135"/>
      <c r="J33" s="135"/>
      <c r="K33" s="135"/>
      <c r="L33" s="135"/>
      <c r="M33" s="135"/>
      <c r="N33" s="135"/>
      <c r="O33" s="135"/>
      <c r="P33" s="135"/>
      <c r="Q33" s="135"/>
      <c r="R33" s="135"/>
      <c r="S33" s="135"/>
      <c r="T33" s="135"/>
      <c r="U33" s="135"/>
      <c r="V33" s="135"/>
      <c r="W33" s="135"/>
      <c r="X33" s="135"/>
      <c r="Y33" s="135"/>
      <c r="Z33" s="135"/>
    </row>
    <row r="34" spans="1:26" ht="15" customHeight="1">
      <c r="A34" s="135"/>
      <c r="B34" s="135"/>
      <c r="C34" s="135"/>
      <c r="D34" s="135"/>
      <c r="E34" s="135"/>
      <c r="F34" s="135"/>
      <c r="G34" s="135"/>
      <c r="H34" s="135"/>
      <c r="I34" s="135"/>
      <c r="J34" s="135"/>
      <c r="K34" s="135"/>
      <c r="L34" s="135"/>
      <c r="M34" s="135"/>
      <c r="N34" s="135"/>
      <c r="O34" s="135"/>
      <c r="P34" s="135"/>
      <c r="Q34" s="135"/>
      <c r="R34" s="135"/>
      <c r="S34" s="135"/>
      <c r="T34" s="135"/>
      <c r="U34" s="135"/>
      <c r="V34" s="135"/>
      <c r="W34" s="135"/>
      <c r="X34" s="135"/>
      <c r="Y34" s="135"/>
      <c r="Z34" s="135"/>
    </row>
    <row r="35" spans="1:26" ht="15" customHeight="1">
      <c r="A35" s="135"/>
      <c r="B35" s="135"/>
      <c r="C35" s="135"/>
      <c r="D35" s="135"/>
      <c r="E35" s="135"/>
      <c r="F35" s="135"/>
      <c r="G35" s="135"/>
      <c r="H35" s="135"/>
      <c r="I35" s="135"/>
      <c r="J35" s="135"/>
      <c r="K35" s="135"/>
      <c r="L35" s="135"/>
      <c r="M35" s="135"/>
      <c r="N35" s="135"/>
      <c r="O35" s="135"/>
      <c r="P35" s="135"/>
      <c r="Q35" s="135"/>
      <c r="R35" s="135"/>
      <c r="S35" s="135"/>
      <c r="T35" s="135"/>
      <c r="U35" s="135"/>
      <c r="V35" s="135"/>
      <c r="W35" s="135"/>
      <c r="X35" s="135"/>
      <c r="Y35" s="135"/>
      <c r="Z35" s="135"/>
    </row>
    <row r="36" spans="1:26" ht="15" customHeight="1">
      <c r="A36" s="135"/>
      <c r="B36" s="135"/>
      <c r="C36" s="135"/>
      <c r="D36" s="135"/>
      <c r="E36" s="135"/>
      <c r="F36" s="135"/>
      <c r="G36" s="135"/>
      <c r="H36" s="135"/>
      <c r="I36" s="135"/>
      <c r="J36" s="135"/>
      <c r="K36" s="135"/>
      <c r="L36" s="135"/>
      <c r="M36" s="135"/>
      <c r="N36" s="135"/>
      <c r="O36" s="135"/>
      <c r="P36" s="135"/>
      <c r="Q36" s="135"/>
      <c r="R36" s="135"/>
      <c r="S36" s="135"/>
      <c r="T36" s="135"/>
      <c r="U36" s="135"/>
      <c r="V36" s="135"/>
      <c r="W36" s="135"/>
      <c r="X36" s="135"/>
      <c r="Y36" s="135"/>
      <c r="Z36" s="135"/>
    </row>
    <row r="37" spans="1:26" ht="15" customHeight="1">
      <c r="A37" s="135"/>
      <c r="B37" s="135"/>
      <c r="C37" s="135"/>
      <c r="D37" s="135"/>
      <c r="E37" s="135"/>
      <c r="F37" s="135"/>
      <c r="G37" s="135"/>
      <c r="H37" s="135"/>
      <c r="I37" s="135"/>
      <c r="J37" s="135"/>
      <c r="K37" s="135"/>
      <c r="L37" s="135"/>
      <c r="M37" s="135"/>
      <c r="N37" s="135"/>
      <c r="O37" s="135"/>
      <c r="P37" s="135"/>
      <c r="Q37" s="135"/>
      <c r="R37" s="135"/>
      <c r="S37" s="135"/>
      <c r="T37" s="135"/>
      <c r="U37" s="135"/>
      <c r="V37" s="135"/>
      <c r="W37" s="135"/>
      <c r="X37" s="135"/>
      <c r="Y37" s="135"/>
      <c r="Z37" s="135"/>
    </row>
    <row r="38" spans="1:26" ht="15" customHeight="1">
      <c r="A38" s="135"/>
      <c r="B38" s="135"/>
      <c r="C38" s="135"/>
      <c r="D38" s="135"/>
      <c r="E38" s="135"/>
      <c r="F38" s="135"/>
      <c r="G38" s="135"/>
      <c r="H38" s="135"/>
      <c r="I38" s="135"/>
      <c r="J38" s="135"/>
      <c r="K38" s="135"/>
      <c r="L38" s="135"/>
      <c r="M38" s="135"/>
      <c r="N38" s="135"/>
      <c r="O38" s="135"/>
      <c r="P38" s="135"/>
      <c r="Q38" s="135"/>
      <c r="R38" s="135"/>
      <c r="S38" s="135"/>
      <c r="T38" s="135"/>
      <c r="U38" s="135"/>
      <c r="V38" s="135"/>
      <c r="W38" s="135"/>
      <c r="X38" s="135"/>
      <c r="Y38" s="135"/>
      <c r="Z38" s="135"/>
    </row>
    <row r="39" spans="1:26" ht="15" customHeight="1">
      <c r="A39" s="135"/>
      <c r="B39" s="135"/>
      <c r="C39" s="135"/>
      <c r="D39" s="135"/>
      <c r="E39" s="135"/>
      <c r="F39" s="135"/>
      <c r="G39" s="135"/>
      <c r="H39" s="135"/>
      <c r="I39" s="135"/>
      <c r="J39" s="135"/>
      <c r="K39" s="135"/>
      <c r="L39" s="135"/>
      <c r="M39" s="135"/>
      <c r="N39" s="135"/>
      <c r="O39" s="135"/>
      <c r="P39" s="135"/>
      <c r="Q39" s="135"/>
      <c r="R39" s="135"/>
      <c r="S39" s="135"/>
      <c r="T39" s="135"/>
      <c r="U39" s="135"/>
      <c r="V39" s="135"/>
      <c r="W39" s="135"/>
      <c r="X39" s="135"/>
      <c r="Y39" s="135"/>
      <c r="Z39" s="135"/>
    </row>
    <row r="40" spans="1:26" ht="15" customHeight="1">
      <c r="A40" s="135"/>
      <c r="B40" s="135"/>
      <c r="C40" s="135"/>
      <c r="D40" s="135"/>
      <c r="E40" s="135"/>
      <c r="F40" s="135"/>
      <c r="G40" s="135"/>
      <c r="H40" s="135"/>
      <c r="I40" s="135"/>
      <c r="J40" s="135"/>
      <c r="K40" s="135"/>
      <c r="L40" s="135"/>
      <c r="M40" s="135"/>
      <c r="N40" s="135"/>
      <c r="O40" s="135"/>
      <c r="P40" s="135"/>
      <c r="Q40" s="135"/>
      <c r="R40" s="135"/>
      <c r="S40" s="135"/>
      <c r="T40" s="135"/>
      <c r="U40" s="135"/>
      <c r="V40" s="135"/>
      <c r="W40" s="135"/>
      <c r="X40" s="135"/>
      <c r="Y40" s="135"/>
      <c r="Z40" s="135"/>
    </row>
    <row r="41" spans="1:26" ht="15" customHeight="1">
      <c r="A41" s="135"/>
      <c r="B41" s="135"/>
      <c r="C41" s="135"/>
      <c r="D41" s="135"/>
      <c r="E41" s="135"/>
      <c r="F41" s="135"/>
      <c r="G41" s="135"/>
      <c r="H41" s="135"/>
      <c r="I41" s="135"/>
      <c r="J41" s="135"/>
      <c r="K41" s="135"/>
      <c r="L41" s="135"/>
      <c r="M41" s="135"/>
      <c r="N41" s="135"/>
      <c r="O41" s="135"/>
      <c r="P41" s="135"/>
      <c r="Q41" s="135"/>
      <c r="R41" s="135"/>
      <c r="S41" s="135"/>
      <c r="T41" s="135"/>
      <c r="U41" s="135"/>
      <c r="V41" s="135"/>
      <c r="W41" s="135"/>
      <c r="X41" s="135"/>
      <c r="Y41" s="135"/>
      <c r="Z41" s="135"/>
    </row>
    <row r="42" spans="1:26" ht="15" customHeight="1">
      <c r="A42" s="135"/>
      <c r="B42" s="135"/>
      <c r="C42" s="135"/>
      <c r="D42" s="135"/>
      <c r="E42" s="135"/>
      <c r="F42" s="135"/>
      <c r="G42" s="135"/>
      <c r="H42" s="135"/>
      <c r="I42" s="135"/>
      <c r="J42" s="135"/>
      <c r="K42" s="135"/>
      <c r="L42" s="135"/>
      <c r="M42" s="135"/>
      <c r="N42" s="135"/>
      <c r="O42" s="135"/>
      <c r="P42" s="135"/>
      <c r="Q42" s="135"/>
      <c r="R42" s="135"/>
      <c r="S42" s="135"/>
      <c r="T42" s="135"/>
      <c r="U42" s="135"/>
      <c r="V42" s="135"/>
      <c r="W42" s="135"/>
      <c r="X42" s="135"/>
      <c r="Y42" s="135"/>
      <c r="Z42" s="135"/>
    </row>
    <row r="43" spans="1:26" ht="15" customHeight="1">
      <c r="A43" s="135"/>
      <c r="B43" s="135"/>
      <c r="C43" s="135"/>
      <c r="D43" s="135"/>
      <c r="E43" s="135"/>
      <c r="F43" s="135"/>
      <c r="G43" s="135"/>
      <c r="H43" s="135"/>
      <c r="I43" s="135"/>
      <c r="J43" s="135"/>
      <c r="K43" s="135"/>
      <c r="L43" s="135"/>
      <c r="M43" s="135"/>
      <c r="N43" s="135"/>
      <c r="O43" s="135"/>
      <c r="P43" s="135"/>
      <c r="Q43" s="135"/>
      <c r="R43" s="135"/>
      <c r="S43" s="135"/>
      <c r="T43" s="135"/>
      <c r="U43" s="135"/>
      <c r="V43" s="135"/>
      <c r="W43" s="135"/>
      <c r="X43" s="135"/>
      <c r="Y43" s="135"/>
      <c r="Z43" s="135"/>
    </row>
    <row r="44" spans="1:26" ht="15" customHeight="1">
      <c r="A44" s="135"/>
      <c r="B44" s="135"/>
      <c r="C44" s="135"/>
      <c r="D44" s="135"/>
      <c r="E44" s="135"/>
      <c r="F44" s="135"/>
      <c r="G44" s="135"/>
      <c r="H44" s="135"/>
      <c r="I44" s="135"/>
      <c r="J44" s="135"/>
      <c r="K44" s="135"/>
      <c r="L44" s="135"/>
      <c r="M44" s="135"/>
      <c r="N44" s="135"/>
      <c r="O44" s="135"/>
      <c r="P44" s="135"/>
      <c r="Q44" s="135"/>
      <c r="R44" s="135"/>
      <c r="S44" s="135"/>
      <c r="T44" s="135"/>
      <c r="U44" s="135"/>
      <c r="V44" s="135"/>
      <c r="W44" s="135"/>
      <c r="X44" s="135"/>
      <c r="Y44" s="135"/>
      <c r="Z44" s="135"/>
    </row>
    <row r="45" spans="1:26" ht="15" customHeight="1">
      <c r="A45" s="135"/>
      <c r="B45" s="135"/>
      <c r="C45" s="135"/>
      <c r="D45" s="135"/>
      <c r="E45" s="135"/>
      <c r="F45" s="135"/>
      <c r="G45" s="135"/>
      <c r="H45" s="135"/>
      <c r="I45" s="135"/>
      <c r="J45" s="135"/>
      <c r="K45" s="135"/>
      <c r="L45" s="135"/>
      <c r="M45" s="135"/>
      <c r="N45" s="135"/>
      <c r="O45" s="135"/>
      <c r="P45" s="135"/>
      <c r="Q45" s="135"/>
      <c r="R45" s="135"/>
      <c r="S45" s="135"/>
      <c r="T45" s="135"/>
      <c r="U45" s="135"/>
      <c r="V45" s="135"/>
      <c r="W45" s="135"/>
      <c r="X45" s="135"/>
      <c r="Y45" s="135"/>
      <c r="Z45" s="135"/>
    </row>
    <row r="46" spans="1:26" ht="15" customHeight="1">
      <c r="A46" s="135"/>
      <c r="B46" s="135"/>
      <c r="C46" s="135"/>
      <c r="D46" s="135"/>
      <c r="E46" s="135"/>
      <c r="F46" s="135"/>
      <c r="G46" s="135"/>
      <c r="H46" s="135"/>
      <c r="I46" s="135"/>
      <c r="J46" s="135"/>
      <c r="K46" s="135"/>
      <c r="L46" s="135"/>
      <c r="M46" s="135"/>
      <c r="N46" s="135"/>
      <c r="O46" s="135"/>
      <c r="P46" s="135"/>
      <c r="Q46" s="135"/>
      <c r="R46" s="135"/>
      <c r="S46" s="135"/>
      <c r="T46" s="135"/>
      <c r="U46" s="135"/>
      <c r="V46" s="135"/>
      <c r="W46" s="135"/>
      <c r="X46" s="135"/>
      <c r="Y46" s="135"/>
      <c r="Z46" s="135"/>
    </row>
    <row r="47" spans="1:26" ht="15" customHeight="1">
      <c r="A47" s="135"/>
      <c r="B47" s="135"/>
      <c r="C47" s="135"/>
      <c r="D47" s="135"/>
      <c r="E47" s="135"/>
      <c r="F47" s="135"/>
      <c r="G47" s="135"/>
      <c r="H47" s="135"/>
      <c r="I47" s="135"/>
      <c r="J47" s="135"/>
      <c r="K47" s="135"/>
      <c r="L47" s="135"/>
      <c r="M47" s="135"/>
      <c r="N47" s="135"/>
      <c r="O47" s="135"/>
      <c r="P47" s="135"/>
      <c r="Q47" s="135"/>
      <c r="R47" s="135"/>
      <c r="S47" s="135"/>
      <c r="T47" s="135"/>
      <c r="U47" s="135"/>
      <c r="V47" s="135"/>
      <c r="W47" s="135"/>
      <c r="X47" s="135"/>
      <c r="Y47" s="135"/>
      <c r="Z47" s="135"/>
    </row>
    <row r="48" spans="1:26" ht="15" customHeight="1">
      <c r="A48" s="135"/>
      <c r="B48" s="135"/>
      <c r="C48" s="135"/>
      <c r="D48" s="135"/>
      <c r="E48" s="135"/>
      <c r="F48" s="135"/>
      <c r="G48" s="135"/>
      <c r="H48" s="135"/>
      <c r="I48" s="135"/>
      <c r="J48" s="135"/>
      <c r="K48" s="135"/>
      <c r="L48" s="135"/>
      <c r="M48" s="135"/>
      <c r="N48" s="135"/>
      <c r="O48" s="135"/>
      <c r="P48" s="135"/>
      <c r="Q48" s="135"/>
      <c r="R48" s="135"/>
      <c r="S48" s="135"/>
      <c r="T48" s="135"/>
      <c r="U48" s="135"/>
      <c r="V48" s="135"/>
      <c r="W48" s="135"/>
      <c r="X48" s="135"/>
      <c r="Y48" s="135"/>
      <c r="Z48" s="135"/>
    </row>
    <row r="49" spans="1:26" ht="15" customHeight="1">
      <c r="A49" s="135"/>
      <c r="B49" s="135"/>
      <c r="C49" s="135"/>
      <c r="D49" s="135"/>
      <c r="E49" s="135"/>
      <c r="F49" s="135"/>
      <c r="G49" s="135"/>
      <c r="H49" s="135"/>
      <c r="I49" s="135"/>
      <c r="J49" s="135"/>
      <c r="K49" s="135"/>
      <c r="L49" s="135"/>
      <c r="M49" s="135"/>
      <c r="N49" s="135"/>
      <c r="O49" s="135"/>
      <c r="P49" s="135"/>
      <c r="Q49" s="135"/>
      <c r="R49" s="135"/>
      <c r="S49" s="135"/>
      <c r="T49" s="135"/>
      <c r="U49" s="135"/>
      <c r="V49" s="135"/>
      <c r="W49" s="135"/>
      <c r="X49" s="135"/>
      <c r="Y49" s="135"/>
      <c r="Z49" s="135"/>
    </row>
    <row r="50" spans="1:26" ht="15" customHeight="1">
      <c r="A50" s="135"/>
      <c r="B50" s="135"/>
      <c r="C50" s="135"/>
      <c r="D50" s="135"/>
      <c r="E50" s="135"/>
      <c r="F50" s="135"/>
      <c r="G50" s="135"/>
      <c r="H50" s="135"/>
      <c r="I50" s="135"/>
      <c r="J50" s="135"/>
      <c r="K50" s="135"/>
      <c r="L50" s="135"/>
      <c r="M50" s="135"/>
      <c r="N50" s="135"/>
      <c r="O50" s="135"/>
      <c r="P50" s="135"/>
      <c r="Q50" s="135"/>
      <c r="R50" s="135"/>
      <c r="S50" s="135"/>
      <c r="T50" s="135"/>
      <c r="U50" s="135"/>
      <c r="V50" s="135"/>
      <c r="W50" s="135"/>
      <c r="X50" s="135"/>
      <c r="Y50" s="135"/>
      <c r="Z50" s="135"/>
    </row>
    <row r="51" spans="1:26" ht="15" customHeight="1">
      <c r="A51" s="135"/>
      <c r="B51" s="135"/>
      <c r="C51" s="135"/>
      <c r="D51" s="135"/>
      <c r="E51" s="135"/>
      <c r="F51" s="135"/>
      <c r="G51" s="135"/>
      <c r="H51" s="135"/>
      <c r="I51" s="135"/>
      <c r="J51" s="135"/>
      <c r="K51" s="135"/>
      <c r="L51" s="135"/>
      <c r="M51" s="135"/>
      <c r="N51" s="135"/>
      <c r="O51" s="135"/>
      <c r="P51" s="135"/>
      <c r="Q51" s="135"/>
      <c r="R51" s="135"/>
      <c r="S51" s="135"/>
      <c r="T51" s="135"/>
      <c r="U51" s="135"/>
      <c r="V51" s="135"/>
      <c r="W51" s="135"/>
      <c r="X51" s="135"/>
      <c r="Y51" s="135"/>
      <c r="Z51" s="135"/>
    </row>
    <row r="52" spans="1:26" ht="15" customHeight="1">
      <c r="A52" s="135"/>
      <c r="B52" s="135"/>
      <c r="C52" s="135"/>
      <c r="D52" s="135"/>
      <c r="E52" s="135"/>
      <c r="F52" s="135"/>
      <c r="G52" s="135"/>
      <c r="H52" s="135"/>
      <c r="I52" s="135"/>
      <c r="J52" s="135"/>
      <c r="K52" s="135"/>
      <c r="L52" s="135"/>
      <c r="M52" s="135"/>
      <c r="N52" s="135"/>
      <c r="O52" s="135"/>
      <c r="P52" s="135"/>
      <c r="Q52" s="135"/>
      <c r="R52" s="135"/>
      <c r="S52" s="135"/>
      <c r="T52" s="135"/>
      <c r="U52" s="135"/>
      <c r="V52" s="135"/>
      <c r="W52" s="135"/>
      <c r="X52" s="135"/>
      <c r="Y52" s="135"/>
      <c r="Z52" s="135"/>
    </row>
    <row r="53" spans="1:26" ht="15" customHeight="1">
      <c r="A53" s="135"/>
      <c r="B53" s="135"/>
      <c r="C53" s="135"/>
      <c r="D53" s="135"/>
      <c r="E53" s="135"/>
      <c r="F53" s="135"/>
      <c r="G53" s="135"/>
      <c r="H53" s="135"/>
      <c r="I53" s="135"/>
      <c r="J53" s="135"/>
      <c r="K53" s="135"/>
      <c r="L53" s="135"/>
      <c r="M53" s="135"/>
      <c r="N53" s="135"/>
      <c r="O53" s="135"/>
      <c r="P53" s="135"/>
      <c r="Q53" s="135"/>
      <c r="R53" s="135"/>
      <c r="S53" s="135"/>
      <c r="T53" s="135"/>
      <c r="U53" s="135"/>
      <c r="V53" s="135"/>
      <c r="W53" s="135"/>
      <c r="X53" s="135"/>
      <c r="Y53" s="135"/>
      <c r="Z53" s="135"/>
    </row>
    <row r="54" spans="1:26" ht="15" customHeight="1">
      <c r="A54" s="135"/>
      <c r="B54" s="135"/>
      <c r="C54" s="135"/>
      <c r="D54" s="135"/>
      <c r="E54" s="135"/>
      <c r="F54" s="135"/>
      <c r="G54" s="135"/>
      <c r="H54" s="135"/>
      <c r="I54" s="135"/>
      <c r="J54" s="135"/>
      <c r="K54" s="135"/>
      <c r="L54" s="135"/>
      <c r="M54" s="135"/>
      <c r="N54" s="135"/>
      <c r="O54" s="135"/>
      <c r="P54" s="135"/>
      <c r="Q54" s="135"/>
      <c r="R54" s="135"/>
      <c r="S54" s="135"/>
      <c r="T54" s="135"/>
      <c r="U54" s="135"/>
      <c r="V54" s="135"/>
      <c r="W54" s="135"/>
      <c r="X54" s="135"/>
      <c r="Y54" s="135"/>
      <c r="Z54" s="135"/>
    </row>
    <row r="55" spans="1:26" ht="15" customHeight="1">
      <c r="A55" s="135"/>
      <c r="B55" s="135"/>
      <c r="C55" s="135"/>
      <c r="D55" s="135"/>
      <c r="E55" s="135"/>
      <c r="F55" s="135"/>
      <c r="G55" s="135"/>
      <c r="H55" s="135"/>
      <c r="I55" s="135"/>
      <c r="J55" s="135"/>
      <c r="K55" s="135"/>
      <c r="L55" s="135"/>
      <c r="M55" s="135"/>
      <c r="N55" s="135"/>
      <c r="O55" s="135"/>
      <c r="P55" s="135"/>
      <c r="Q55" s="135"/>
      <c r="R55" s="135"/>
      <c r="S55" s="135"/>
      <c r="T55" s="135"/>
      <c r="U55" s="135"/>
      <c r="V55" s="135"/>
      <c r="W55" s="135"/>
      <c r="X55" s="135"/>
      <c r="Y55" s="135"/>
      <c r="Z55" s="135"/>
    </row>
    <row r="56" spans="1:26" ht="15" customHeight="1">
      <c r="A56" s="135"/>
      <c r="B56" s="135"/>
      <c r="C56" s="135"/>
      <c r="D56" s="135"/>
      <c r="E56" s="135"/>
      <c r="F56" s="135"/>
      <c r="G56" s="135"/>
      <c r="H56" s="135"/>
      <c r="I56" s="135"/>
      <c r="J56" s="135"/>
      <c r="K56" s="135"/>
      <c r="L56" s="135"/>
      <c r="M56" s="135"/>
      <c r="N56" s="135"/>
      <c r="O56" s="135"/>
      <c r="P56" s="135"/>
      <c r="Q56" s="135"/>
      <c r="R56" s="135"/>
      <c r="S56" s="135"/>
      <c r="T56" s="135"/>
      <c r="U56" s="135"/>
      <c r="V56" s="135"/>
      <c r="W56" s="135"/>
      <c r="X56" s="135"/>
      <c r="Y56" s="135"/>
      <c r="Z56" s="135"/>
    </row>
    <row r="57" spans="1:26" ht="15" customHeight="1">
      <c r="A57" s="135"/>
      <c r="B57" s="135"/>
      <c r="C57" s="135"/>
      <c r="D57" s="135"/>
      <c r="E57" s="135"/>
      <c r="F57" s="135"/>
      <c r="G57" s="135"/>
      <c r="H57" s="135"/>
      <c r="I57" s="135"/>
      <c r="J57" s="135"/>
      <c r="K57" s="135"/>
      <c r="L57" s="135"/>
      <c r="M57" s="135"/>
      <c r="N57" s="135"/>
      <c r="O57" s="135"/>
      <c r="P57" s="135"/>
      <c r="Q57" s="135"/>
      <c r="R57" s="135"/>
      <c r="S57" s="135"/>
      <c r="T57" s="135"/>
      <c r="U57" s="135"/>
      <c r="V57" s="135"/>
      <c r="W57" s="135"/>
      <c r="X57" s="135"/>
      <c r="Y57" s="135"/>
      <c r="Z57" s="135"/>
    </row>
    <row r="58" spans="1:26" ht="15" customHeight="1">
      <c r="A58" s="135"/>
      <c r="B58" s="135"/>
      <c r="C58" s="135"/>
      <c r="D58" s="135"/>
      <c r="E58" s="135"/>
      <c r="F58" s="135"/>
      <c r="G58" s="135"/>
      <c r="H58" s="135"/>
      <c r="I58" s="135"/>
      <c r="J58" s="135"/>
      <c r="K58" s="135"/>
      <c r="L58" s="135"/>
      <c r="M58" s="135"/>
      <c r="N58" s="135"/>
      <c r="O58" s="135"/>
      <c r="P58" s="135"/>
      <c r="Q58" s="135"/>
      <c r="R58" s="135"/>
      <c r="S58" s="135"/>
      <c r="T58" s="135"/>
      <c r="U58" s="135"/>
      <c r="V58" s="135"/>
      <c r="W58" s="135"/>
      <c r="X58" s="135"/>
      <c r="Y58" s="135"/>
      <c r="Z58" s="135"/>
    </row>
    <row r="59" spans="1:26" ht="15" customHeight="1">
      <c r="A59" s="135"/>
      <c r="B59" s="135"/>
      <c r="C59" s="135"/>
      <c r="D59" s="135"/>
      <c r="E59" s="135"/>
      <c r="F59" s="135"/>
      <c r="G59" s="135"/>
      <c r="H59" s="135"/>
      <c r="I59" s="135"/>
      <c r="J59" s="135"/>
      <c r="K59" s="135"/>
      <c r="L59" s="135"/>
      <c r="M59" s="135"/>
      <c r="N59" s="135"/>
      <c r="O59" s="135"/>
      <c r="P59" s="135"/>
      <c r="Q59" s="135"/>
      <c r="R59" s="135"/>
      <c r="S59" s="135"/>
      <c r="T59" s="135"/>
      <c r="U59" s="135"/>
      <c r="V59" s="135"/>
      <c r="W59" s="135"/>
      <c r="X59" s="135"/>
      <c r="Y59" s="135"/>
      <c r="Z59" s="135"/>
    </row>
    <row r="60" spans="1:26" ht="15" customHeight="1">
      <c r="A60" s="135"/>
      <c r="B60" s="135"/>
      <c r="C60" s="135"/>
      <c r="D60" s="135"/>
      <c r="E60" s="135"/>
      <c r="F60" s="135"/>
      <c r="G60" s="135"/>
      <c r="H60" s="135"/>
      <c r="I60" s="135"/>
      <c r="J60" s="135"/>
      <c r="K60" s="135"/>
      <c r="L60" s="135"/>
      <c r="M60" s="135"/>
      <c r="N60" s="135"/>
      <c r="O60" s="135"/>
      <c r="P60" s="135"/>
      <c r="Q60" s="135"/>
      <c r="R60" s="135"/>
      <c r="S60" s="135"/>
      <c r="T60" s="135"/>
      <c r="U60" s="135"/>
      <c r="V60" s="135"/>
      <c r="W60" s="135"/>
      <c r="X60" s="135"/>
      <c r="Y60" s="135"/>
      <c r="Z60" s="135"/>
    </row>
    <row r="61" spans="1:26" ht="15" customHeight="1">
      <c r="A61" s="135"/>
      <c r="B61" s="135"/>
      <c r="C61" s="135"/>
      <c r="D61" s="135"/>
      <c r="E61" s="135"/>
      <c r="F61" s="135"/>
      <c r="G61" s="135"/>
      <c r="H61" s="135"/>
      <c r="I61" s="135"/>
      <c r="J61" s="135"/>
      <c r="K61" s="135"/>
      <c r="L61" s="135"/>
      <c r="M61" s="135"/>
      <c r="N61" s="135"/>
      <c r="O61" s="135"/>
      <c r="P61" s="135"/>
      <c r="Q61" s="135"/>
      <c r="R61" s="135"/>
      <c r="S61" s="135"/>
      <c r="T61" s="135"/>
      <c r="U61" s="135"/>
      <c r="V61" s="135"/>
      <c r="W61" s="135"/>
      <c r="X61" s="135"/>
      <c r="Y61" s="135"/>
      <c r="Z61" s="135"/>
    </row>
    <row r="62" spans="1:26" ht="15" customHeight="1">
      <c r="A62" s="135"/>
      <c r="B62" s="135"/>
      <c r="C62" s="135"/>
      <c r="D62" s="135"/>
      <c r="E62" s="135"/>
      <c r="F62" s="135"/>
      <c r="G62" s="135"/>
      <c r="H62" s="135"/>
      <c r="I62" s="135"/>
      <c r="J62" s="135"/>
      <c r="K62" s="135"/>
      <c r="L62" s="135"/>
      <c r="M62" s="135"/>
      <c r="N62" s="135"/>
      <c r="O62" s="135"/>
      <c r="P62" s="135"/>
      <c r="Q62" s="135"/>
      <c r="R62" s="135"/>
      <c r="S62" s="135"/>
      <c r="T62" s="135"/>
      <c r="U62" s="135"/>
      <c r="V62" s="135"/>
      <c r="W62" s="135"/>
      <c r="X62" s="135"/>
      <c r="Y62" s="135"/>
      <c r="Z62" s="135"/>
    </row>
    <row r="63" spans="1:26" ht="15" customHeight="1">
      <c r="A63" s="135"/>
      <c r="B63" s="135"/>
      <c r="C63" s="135"/>
      <c r="D63" s="135"/>
      <c r="E63" s="135"/>
      <c r="F63" s="135"/>
      <c r="G63" s="135"/>
      <c r="H63" s="135"/>
      <c r="I63" s="135"/>
      <c r="J63" s="135"/>
      <c r="K63" s="135"/>
      <c r="L63" s="135"/>
      <c r="M63" s="135"/>
      <c r="N63" s="135"/>
      <c r="O63" s="135"/>
      <c r="P63" s="135"/>
      <c r="Q63" s="135"/>
      <c r="R63" s="135"/>
      <c r="S63" s="135"/>
      <c r="T63" s="135"/>
      <c r="U63" s="135"/>
      <c r="V63" s="135"/>
      <c r="W63" s="135"/>
      <c r="X63" s="135"/>
      <c r="Y63" s="135"/>
      <c r="Z63" s="135"/>
    </row>
    <row r="64" spans="1:26" ht="15" customHeight="1">
      <c r="A64" s="135"/>
      <c r="B64" s="135"/>
      <c r="C64" s="135"/>
      <c r="D64" s="135"/>
      <c r="E64" s="135"/>
      <c r="F64" s="135"/>
      <c r="G64" s="135"/>
      <c r="H64" s="135"/>
      <c r="I64" s="135"/>
      <c r="J64" s="135"/>
      <c r="K64" s="135"/>
      <c r="L64" s="135"/>
      <c r="M64" s="135"/>
      <c r="N64" s="135"/>
      <c r="O64" s="135"/>
      <c r="P64" s="135"/>
      <c r="Q64" s="135"/>
      <c r="R64" s="135"/>
      <c r="S64" s="135"/>
      <c r="T64" s="135"/>
      <c r="U64" s="135"/>
      <c r="V64" s="135"/>
      <c r="W64" s="135"/>
      <c r="X64" s="135"/>
      <c r="Y64" s="135"/>
      <c r="Z64" s="135"/>
    </row>
    <row r="65" spans="1:26" ht="15" customHeight="1">
      <c r="A65" s="135"/>
      <c r="B65" s="135"/>
      <c r="C65" s="135"/>
      <c r="D65" s="135"/>
      <c r="E65" s="135"/>
      <c r="F65" s="135"/>
      <c r="G65" s="135"/>
      <c r="H65" s="135"/>
      <c r="I65" s="135"/>
      <c r="J65" s="135"/>
      <c r="K65" s="135"/>
      <c r="L65" s="135"/>
      <c r="M65" s="135"/>
      <c r="N65" s="135"/>
      <c r="O65" s="135"/>
      <c r="P65" s="135"/>
      <c r="Q65" s="135"/>
      <c r="R65" s="135"/>
      <c r="S65" s="135"/>
      <c r="T65" s="135"/>
      <c r="U65" s="135"/>
      <c r="V65" s="135"/>
      <c r="W65" s="135"/>
      <c r="X65" s="135"/>
      <c r="Y65" s="135"/>
      <c r="Z65" s="135"/>
    </row>
    <row r="66" spans="1:26" ht="15" customHeight="1">
      <c r="A66" s="135"/>
      <c r="B66" s="135"/>
      <c r="C66" s="135"/>
      <c r="D66" s="135"/>
      <c r="E66" s="135"/>
      <c r="F66" s="135"/>
      <c r="G66" s="135"/>
      <c r="H66" s="135"/>
      <c r="I66" s="135"/>
      <c r="J66" s="135"/>
      <c r="K66" s="135"/>
      <c r="L66" s="135"/>
      <c r="M66" s="135"/>
      <c r="N66" s="135"/>
      <c r="O66" s="135"/>
      <c r="P66" s="135"/>
      <c r="Q66" s="135"/>
      <c r="R66" s="135"/>
      <c r="S66" s="135"/>
      <c r="T66" s="135"/>
      <c r="U66" s="135"/>
      <c r="V66" s="135"/>
      <c r="W66" s="135"/>
      <c r="X66" s="135"/>
      <c r="Y66" s="135"/>
      <c r="Z66" s="135"/>
    </row>
    <row r="67" spans="1:26" ht="15" customHeight="1">
      <c r="A67" s="135"/>
      <c r="B67" s="135"/>
      <c r="C67" s="135"/>
      <c r="D67" s="135"/>
      <c r="E67" s="135"/>
      <c r="F67" s="135"/>
      <c r="G67" s="135"/>
      <c r="H67" s="135"/>
      <c r="I67" s="135"/>
      <c r="J67" s="135"/>
      <c r="K67" s="135"/>
      <c r="L67" s="135"/>
      <c r="M67" s="135"/>
      <c r="N67" s="135"/>
      <c r="O67" s="135"/>
      <c r="P67" s="135"/>
      <c r="Q67" s="135"/>
      <c r="R67" s="135"/>
      <c r="S67" s="135"/>
      <c r="T67" s="135"/>
      <c r="U67" s="135"/>
      <c r="V67" s="135"/>
      <c r="W67" s="135"/>
      <c r="X67" s="135"/>
      <c r="Y67" s="135"/>
      <c r="Z67" s="135"/>
    </row>
    <row r="68" spans="1:26" ht="15" customHeight="1">
      <c r="A68" s="135"/>
      <c r="B68" s="135"/>
      <c r="C68" s="135"/>
      <c r="D68" s="135"/>
      <c r="E68" s="135"/>
      <c r="F68" s="135"/>
      <c r="G68" s="135"/>
      <c r="H68" s="135"/>
      <c r="I68" s="135"/>
      <c r="J68" s="135"/>
      <c r="K68" s="135"/>
      <c r="L68" s="135"/>
      <c r="M68" s="135"/>
      <c r="N68" s="135"/>
      <c r="O68" s="135"/>
      <c r="P68" s="135"/>
      <c r="Q68" s="135"/>
      <c r="R68" s="135"/>
      <c r="S68" s="135"/>
      <c r="T68" s="135"/>
      <c r="U68" s="135"/>
      <c r="V68" s="135"/>
      <c r="W68" s="135"/>
      <c r="X68" s="135"/>
      <c r="Y68" s="135"/>
      <c r="Z68" s="135"/>
    </row>
    <row r="69" spans="1:26" ht="15" customHeight="1">
      <c r="A69" s="135"/>
      <c r="B69" s="135"/>
      <c r="C69" s="135"/>
      <c r="D69" s="135"/>
      <c r="E69" s="135"/>
      <c r="F69" s="135"/>
      <c r="G69" s="135"/>
      <c r="H69" s="135"/>
      <c r="I69" s="135"/>
      <c r="J69" s="135"/>
      <c r="K69" s="135"/>
      <c r="L69" s="135"/>
      <c r="M69" s="135"/>
      <c r="N69" s="135"/>
      <c r="O69" s="135"/>
      <c r="P69" s="135"/>
      <c r="Q69" s="135"/>
      <c r="R69" s="135"/>
      <c r="S69" s="135"/>
      <c r="T69" s="135"/>
      <c r="U69" s="135"/>
      <c r="V69" s="135"/>
      <c r="W69" s="135"/>
      <c r="X69" s="135"/>
      <c r="Y69" s="135"/>
      <c r="Z69" s="135"/>
    </row>
    <row r="70" spans="1:26" ht="15" customHeight="1">
      <c r="A70" s="135"/>
      <c r="B70" s="135"/>
      <c r="C70" s="135"/>
      <c r="D70" s="135"/>
      <c r="E70" s="135"/>
      <c r="F70" s="135"/>
      <c r="G70" s="135"/>
      <c r="H70" s="135"/>
      <c r="I70" s="135"/>
      <c r="J70" s="135"/>
      <c r="K70" s="135"/>
      <c r="L70" s="135"/>
      <c r="M70" s="135"/>
      <c r="N70" s="135"/>
      <c r="O70" s="135"/>
      <c r="P70" s="135"/>
      <c r="Q70" s="135"/>
      <c r="R70" s="135"/>
      <c r="S70" s="135"/>
      <c r="T70" s="135"/>
      <c r="U70" s="135"/>
      <c r="V70" s="135"/>
      <c r="W70" s="135"/>
      <c r="X70" s="135"/>
      <c r="Y70" s="135"/>
      <c r="Z70" s="135"/>
    </row>
    <row r="71" spans="1:26" ht="15" customHeight="1">
      <c r="A71" s="135"/>
      <c r="B71" s="135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X71" s="135"/>
      <c r="Y71" s="135"/>
      <c r="Z71" s="135"/>
    </row>
    <row r="72" spans="1:26" ht="15" customHeight="1">
      <c r="A72" s="135"/>
      <c r="B72" s="135"/>
      <c r="C72" s="135"/>
      <c r="D72" s="135"/>
      <c r="E72" s="135"/>
      <c r="F72" s="135"/>
      <c r="G72" s="135"/>
      <c r="H72" s="135"/>
      <c r="I72" s="135"/>
      <c r="J72" s="135"/>
      <c r="K72" s="135"/>
      <c r="L72" s="135"/>
      <c r="M72" s="135"/>
      <c r="N72" s="135"/>
      <c r="O72" s="135"/>
      <c r="P72" s="135"/>
      <c r="Q72" s="135"/>
      <c r="R72" s="135"/>
      <c r="S72" s="135"/>
      <c r="T72" s="135"/>
      <c r="U72" s="135"/>
      <c r="V72" s="135"/>
      <c r="W72" s="135"/>
      <c r="X72" s="135"/>
      <c r="Y72" s="135"/>
      <c r="Z72" s="135"/>
    </row>
    <row r="73" spans="1:26" ht="15" customHeight="1">
      <c r="A73" s="135"/>
      <c r="B73" s="135"/>
      <c r="C73" s="135"/>
      <c r="D73" s="135"/>
      <c r="E73" s="135"/>
      <c r="F73" s="135"/>
      <c r="G73" s="135"/>
      <c r="H73" s="135"/>
      <c r="I73" s="135"/>
      <c r="J73" s="135"/>
      <c r="K73" s="135"/>
      <c r="L73" s="135"/>
      <c r="M73" s="135"/>
      <c r="N73" s="135"/>
      <c r="O73" s="135"/>
      <c r="P73" s="135"/>
      <c r="Q73" s="135"/>
      <c r="R73" s="135"/>
      <c r="S73" s="135"/>
      <c r="T73" s="135"/>
      <c r="U73" s="135"/>
      <c r="V73" s="135"/>
      <c r="W73" s="135"/>
      <c r="X73" s="135"/>
      <c r="Y73" s="135"/>
      <c r="Z73" s="135"/>
    </row>
    <row r="74" spans="1:26" ht="15" customHeight="1">
      <c r="A74" s="135"/>
      <c r="B74" s="135"/>
      <c r="C74" s="135"/>
      <c r="D74" s="135"/>
      <c r="E74" s="135"/>
      <c r="F74" s="135"/>
      <c r="G74" s="135"/>
      <c r="H74" s="135"/>
      <c r="I74" s="135"/>
      <c r="J74" s="135"/>
      <c r="K74" s="135"/>
      <c r="L74" s="135"/>
      <c r="M74" s="135"/>
      <c r="N74" s="135"/>
      <c r="O74" s="135"/>
      <c r="P74" s="135"/>
      <c r="Q74" s="135"/>
      <c r="R74" s="135"/>
      <c r="S74" s="135"/>
      <c r="T74" s="135"/>
      <c r="U74" s="135"/>
      <c r="V74" s="135"/>
      <c r="W74" s="135"/>
      <c r="X74" s="135"/>
      <c r="Y74" s="135"/>
      <c r="Z74" s="135"/>
    </row>
    <row r="75" spans="1:26" ht="15" customHeight="1">
      <c r="A75" s="135"/>
      <c r="B75" s="135"/>
      <c r="C75" s="135"/>
      <c r="D75" s="135"/>
      <c r="E75" s="135"/>
      <c r="F75" s="135"/>
      <c r="G75" s="135"/>
      <c r="H75" s="135"/>
      <c r="I75" s="135"/>
      <c r="J75" s="135"/>
      <c r="K75" s="135"/>
      <c r="L75" s="135"/>
      <c r="M75" s="135"/>
      <c r="N75" s="135"/>
      <c r="O75" s="135"/>
      <c r="P75" s="135"/>
      <c r="Q75" s="135"/>
      <c r="R75" s="135"/>
      <c r="S75" s="135"/>
      <c r="T75" s="135"/>
      <c r="U75" s="135"/>
      <c r="V75" s="135"/>
      <c r="W75" s="135"/>
      <c r="X75" s="135"/>
      <c r="Y75" s="135"/>
      <c r="Z75" s="135"/>
    </row>
    <row r="76" spans="1:26" ht="15" customHeight="1">
      <c r="A76" s="135"/>
      <c r="B76" s="135"/>
      <c r="C76" s="135"/>
      <c r="D76" s="135"/>
      <c r="E76" s="135"/>
      <c r="F76" s="135"/>
      <c r="G76" s="135"/>
      <c r="H76" s="135"/>
      <c r="I76" s="135"/>
      <c r="J76" s="135"/>
      <c r="K76" s="135"/>
      <c r="L76" s="135"/>
      <c r="M76" s="135"/>
      <c r="N76" s="135"/>
      <c r="O76" s="135"/>
      <c r="P76" s="135"/>
      <c r="Q76" s="135"/>
      <c r="R76" s="135"/>
      <c r="S76" s="135"/>
      <c r="T76" s="135"/>
      <c r="U76" s="135"/>
      <c r="V76" s="135"/>
      <c r="W76" s="135"/>
      <c r="X76" s="135"/>
      <c r="Y76" s="135"/>
      <c r="Z76" s="135"/>
    </row>
    <row r="77" spans="1:26" ht="15" customHeight="1">
      <c r="A77" s="135"/>
      <c r="B77" s="135"/>
      <c r="C77" s="135"/>
      <c r="D77" s="135"/>
      <c r="E77" s="135"/>
      <c r="F77" s="135"/>
      <c r="G77" s="135"/>
      <c r="H77" s="135"/>
      <c r="I77" s="135"/>
      <c r="J77" s="135"/>
      <c r="K77" s="135"/>
      <c r="L77" s="135"/>
      <c r="M77" s="135"/>
      <c r="N77" s="135"/>
      <c r="O77" s="135"/>
      <c r="P77" s="135"/>
      <c r="Q77" s="135"/>
      <c r="R77" s="135"/>
      <c r="S77" s="135"/>
      <c r="T77" s="135"/>
      <c r="U77" s="135"/>
      <c r="V77" s="135"/>
      <c r="W77" s="135"/>
      <c r="X77" s="135"/>
      <c r="Y77" s="135"/>
      <c r="Z77" s="135"/>
    </row>
    <row r="78" spans="1:26" ht="15" customHeight="1">
      <c r="A78" s="135"/>
      <c r="B78" s="135"/>
      <c r="C78" s="135"/>
      <c r="D78" s="135"/>
      <c r="E78" s="135"/>
      <c r="F78" s="135"/>
      <c r="G78" s="135"/>
      <c r="H78" s="135"/>
      <c r="I78" s="135"/>
      <c r="J78" s="135"/>
      <c r="K78" s="135"/>
      <c r="L78" s="135"/>
      <c r="M78" s="135"/>
      <c r="N78" s="135"/>
      <c r="O78" s="135"/>
      <c r="P78" s="135"/>
      <c r="Q78" s="135"/>
      <c r="R78" s="135"/>
      <c r="S78" s="135"/>
      <c r="T78" s="135"/>
      <c r="U78" s="135"/>
      <c r="V78" s="135"/>
      <c r="W78" s="135"/>
      <c r="X78" s="135"/>
      <c r="Y78" s="135"/>
      <c r="Z78" s="135"/>
    </row>
    <row r="79" spans="1:26" ht="15" customHeight="1">
      <c r="A79" s="135"/>
      <c r="B79" s="135"/>
      <c r="C79" s="135"/>
      <c r="D79" s="135"/>
      <c r="E79" s="135"/>
      <c r="F79" s="135"/>
      <c r="G79" s="135"/>
      <c r="H79" s="135"/>
      <c r="I79" s="135"/>
      <c r="J79" s="135"/>
      <c r="K79" s="135"/>
      <c r="L79" s="135"/>
      <c r="M79" s="135"/>
      <c r="N79" s="135"/>
      <c r="O79" s="135"/>
      <c r="P79" s="135"/>
      <c r="Q79" s="135"/>
      <c r="R79" s="135"/>
      <c r="S79" s="135"/>
      <c r="T79" s="135"/>
      <c r="U79" s="135"/>
      <c r="V79" s="135"/>
      <c r="W79" s="135"/>
      <c r="X79" s="135"/>
      <c r="Y79" s="135"/>
      <c r="Z79" s="135"/>
    </row>
    <row r="80" spans="1:26" ht="15" customHeight="1">
      <c r="A80" s="135"/>
      <c r="B80" s="135"/>
      <c r="C80" s="135"/>
      <c r="D80" s="135"/>
      <c r="E80" s="135"/>
      <c r="F80" s="135"/>
      <c r="G80" s="135"/>
      <c r="H80" s="135"/>
      <c r="I80" s="135"/>
      <c r="J80" s="135"/>
      <c r="K80" s="135"/>
      <c r="L80" s="135"/>
      <c r="M80" s="135"/>
      <c r="N80" s="135"/>
      <c r="O80" s="135"/>
      <c r="P80" s="135"/>
      <c r="Q80" s="135"/>
      <c r="R80" s="135"/>
      <c r="S80" s="135"/>
      <c r="T80" s="135"/>
      <c r="U80" s="135"/>
      <c r="V80" s="135"/>
      <c r="W80" s="135"/>
      <c r="X80" s="135"/>
      <c r="Y80" s="135"/>
      <c r="Z80" s="135"/>
    </row>
    <row r="81" spans="1:26" ht="15" customHeight="1">
      <c r="A81" s="135"/>
      <c r="B81" s="135"/>
      <c r="C81" s="135"/>
      <c r="D81" s="135"/>
      <c r="E81" s="135"/>
      <c r="F81" s="135"/>
      <c r="G81" s="135"/>
      <c r="H81" s="135"/>
      <c r="I81" s="135"/>
      <c r="J81" s="135"/>
      <c r="K81" s="135"/>
      <c r="L81" s="135"/>
      <c r="M81" s="135"/>
      <c r="N81" s="135"/>
      <c r="O81" s="135"/>
      <c r="P81" s="135"/>
      <c r="Q81" s="135"/>
      <c r="R81" s="135"/>
      <c r="S81" s="135"/>
      <c r="T81" s="135"/>
      <c r="U81" s="135"/>
      <c r="V81" s="135"/>
      <c r="W81" s="135"/>
      <c r="X81" s="135"/>
      <c r="Y81" s="135"/>
      <c r="Z81" s="135"/>
    </row>
    <row r="82" spans="1:26" ht="15" customHeight="1">
      <c r="A82" s="135"/>
      <c r="B82" s="135"/>
      <c r="C82" s="135"/>
      <c r="D82" s="135"/>
      <c r="E82" s="135"/>
      <c r="F82" s="135"/>
      <c r="G82" s="135"/>
      <c r="H82" s="135"/>
      <c r="I82" s="135"/>
      <c r="J82" s="135"/>
      <c r="K82" s="135"/>
      <c r="L82" s="135"/>
      <c r="M82" s="135"/>
      <c r="N82" s="135"/>
      <c r="O82" s="135"/>
      <c r="P82" s="135"/>
      <c r="Q82" s="135"/>
      <c r="R82" s="135"/>
      <c r="S82" s="135"/>
      <c r="T82" s="135"/>
      <c r="U82" s="135"/>
      <c r="V82" s="135"/>
      <c r="W82" s="135"/>
      <c r="X82" s="135"/>
      <c r="Y82" s="135"/>
      <c r="Z82" s="135"/>
    </row>
    <row r="83" spans="1:26" ht="15" customHeight="1">
      <c r="A83" s="135"/>
      <c r="B83" s="135"/>
      <c r="C83" s="135"/>
      <c r="D83" s="135"/>
      <c r="E83" s="135"/>
      <c r="F83" s="135"/>
      <c r="G83" s="135"/>
      <c r="H83" s="135"/>
      <c r="I83" s="135"/>
      <c r="J83" s="135"/>
      <c r="K83" s="135"/>
      <c r="L83" s="135"/>
      <c r="M83" s="135"/>
      <c r="N83" s="135"/>
      <c r="O83" s="135"/>
      <c r="P83" s="135"/>
      <c r="Q83" s="135"/>
      <c r="R83" s="135"/>
      <c r="S83" s="135"/>
      <c r="T83" s="135"/>
      <c r="U83" s="135"/>
      <c r="V83" s="135"/>
      <c r="W83" s="135"/>
      <c r="X83" s="135"/>
      <c r="Y83" s="135"/>
      <c r="Z83" s="135"/>
    </row>
    <row r="84" spans="1:26" ht="15" customHeight="1">
      <c r="A84" s="135"/>
      <c r="B84" s="135"/>
      <c r="C84" s="135"/>
      <c r="D84" s="135"/>
      <c r="E84" s="135"/>
      <c r="F84" s="135"/>
      <c r="G84" s="135"/>
      <c r="H84" s="135"/>
      <c r="I84" s="135"/>
      <c r="J84" s="135"/>
      <c r="K84" s="135"/>
      <c r="L84" s="135"/>
      <c r="M84" s="135"/>
      <c r="N84" s="135"/>
      <c r="O84" s="135"/>
      <c r="P84" s="135"/>
      <c r="Q84" s="135"/>
      <c r="R84" s="135"/>
      <c r="S84" s="135"/>
      <c r="T84" s="135"/>
      <c r="U84" s="135"/>
      <c r="V84" s="135"/>
      <c r="W84" s="135"/>
      <c r="X84" s="135"/>
      <c r="Y84" s="135"/>
      <c r="Z84" s="135"/>
    </row>
    <row r="85" spans="1:26" ht="15" customHeight="1">
      <c r="A85" s="135"/>
      <c r="B85" s="135"/>
      <c r="C85" s="135"/>
      <c r="D85" s="135"/>
      <c r="E85" s="135"/>
      <c r="F85" s="135"/>
      <c r="G85" s="135"/>
      <c r="H85" s="135"/>
      <c r="I85" s="135"/>
      <c r="J85" s="135"/>
      <c r="K85" s="135"/>
      <c r="L85" s="135"/>
      <c r="M85" s="135"/>
      <c r="N85" s="135"/>
      <c r="O85" s="135"/>
      <c r="P85" s="135"/>
      <c r="Q85" s="135"/>
      <c r="R85" s="135"/>
      <c r="S85" s="135"/>
      <c r="T85" s="135"/>
      <c r="U85" s="135"/>
      <c r="V85" s="135"/>
      <c r="W85" s="135"/>
      <c r="X85" s="135"/>
      <c r="Y85" s="135"/>
      <c r="Z85" s="135"/>
    </row>
    <row r="86" spans="1:26" ht="15" customHeight="1">
      <c r="A86" s="135"/>
      <c r="B86" s="135"/>
      <c r="C86" s="135"/>
      <c r="D86" s="135"/>
      <c r="E86" s="135"/>
      <c r="F86" s="135"/>
      <c r="G86" s="135"/>
      <c r="H86" s="135"/>
      <c r="I86" s="135"/>
      <c r="J86" s="135"/>
      <c r="K86" s="135"/>
      <c r="L86" s="135"/>
      <c r="M86" s="135"/>
      <c r="N86" s="135"/>
      <c r="O86" s="135"/>
      <c r="P86" s="135"/>
      <c r="Q86" s="135"/>
      <c r="R86" s="135"/>
      <c r="S86" s="135"/>
      <c r="T86" s="135"/>
      <c r="U86" s="135"/>
      <c r="V86" s="135"/>
      <c r="W86" s="135"/>
      <c r="X86" s="135"/>
      <c r="Y86" s="135"/>
      <c r="Z86" s="135"/>
    </row>
    <row r="87" spans="1:26" ht="15" customHeight="1">
      <c r="A87" s="135"/>
      <c r="B87" s="135"/>
      <c r="C87" s="135"/>
      <c r="D87" s="135"/>
      <c r="E87" s="135"/>
      <c r="F87" s="135"/>
      <c r="G87" s="135"/>
      <c r="H87" s="135"/>
      <c r="I87" s="135"/>
      <c r="J87" s="135"/>
      <c r="K87" s="135"/>
      <c r="L87" s="135"/>
      <c r="M87" s="135"/>
      <c r="N87" s="135"/>
      <c r="O87" s="135"/>
      <c r="P87" s="135"/>
      <c r="Q87" s="135"/>
      <c r="R87" s="135"/>
      <c r="S87" s="135"/>
      <c r="T87" s="135"/>
      <c r="U87" s="135"/>
      <c r="V87" s="135"/>
      <c r="W87" s="135"/>
      <c r="X87" s="135"/>
      <c r="Y87" s="135"/>
      <c r="Z87" s="135"/>
    </row>
    <row r="88" spans="1:26" ht="15" customHeight="1">
      <c r="A88" s="135"/>
      <c r="B88" s="135"/>
      <c r="C88" s="135"/>
      <c r="D88" s="135"/>
      <c r="E88" s="135"/>
      <c r="F88" s="135"/>
      <c r="G88" s="135"/>
      <c r="H88" s="135"/>
      <c r="I88" s="135"/>
      <c r="J88" s="135"/>
      <c r="K88" s="135"/>
      <c r="L88" s="135"/>
      <c r="M88" s="135"/>
      <c r="N88" s="135"/>
      <c r="O88" s="135"/>
      <c r="P88" s="135"/>
      <c r="Q88" s="135"/>
      <c r="R88" s="135"/>
      <c r="S88" s="135"/>
      <c r="T88" s="135"/>
      <c r="U88" s="135"/>
      <c r="V88" s="135"/>
      <c r="W88" s="135"/>
      <c r="X88" s="135"/>
      <c r="Y88" s="135"/>
      <c r="Z88" s="135"/>
    </row>
    <row r="89" spans="1:26" ht="15" customHeight="1">
      <c r="A89" s="135"/>
      <c r="B89" s="135"/>
      <c r="C89" s="135"/>
      <c r="D89" s="135"/>
      <c r="E89" s="135"/>
      <c r="F89" s="135"/>
      <c r="G89" s="135"/>
      <c r="H89" s="135"/>
      <c r="I89" s="135"/>
      <c r="J89" s="135"/>
      <c r="K89" s="135"/>
      <c r="L89" s="135"/>
      <c r="M89" s="135"/>
      <c r="N89" s="135"/>
      <c r="O89" s="135"/>
      <c r="P89" s="135"/>
      <c r="Q89" s="135"/>
      <c r="R89" s="135"/>
      <c r="S89" s="135"/>
      <c r="T89" s="135"/>
      <c r="U89" s="135"/>
      <c r="V89" s="135"/>
      <c r="W89" s="135"/>
      <c r="X89" s="135"/>
      <c r="Y89" s="135"/>
      <c r="Z89" s="135"/>
    </row>
    <row r="90" spans="1:26" ht="15" customHeight="1">
      <c r="A90" s="135"/>
      <c r="B90" s="135"/>
      <c r="C90" s="135"/>
      <c r="D90" s="135"/>
      <c r="E90" s="135"/>
      <c r="F90" s="135"/>
      <c r="G90" s="135"/>
      <c r="H90" s="135"/>
      <c r="I90" s="135"/>
      <c r="J90" s="135"/>
      <c r="K90" s="135"/>
      <c r="L90" s="135"/>
      <c r="M90" s="135"/>
      <c r="N90" s="135"/>
      <c r="O90" s="135"/>
      <c r="P90" s="135"/>
      <c r="Q90" s="135"/>
      <c r="R90" s="135"/>
      <c r="S90" s="135"/>
      <c r="T90" s="135"/>
      <c r="U90" s="135"/>
      <c r="V90" s="135"/>
      <c r="W90" s="135"/>
      <c r="X90" s="135"/>
      <c r="Y90" s="135"/>
      <c r="Z90" s="135"/>
    </row>
    <row r="91" spans="1:26" ht="15" customHeight="1">
      <c r="A91" s="135"/>
      <c r="B91" s="135"/>
      <c r="C91" s="135"/>
      <c r="D91" s="135"/>
      <c r="E91" s="135"/>
      <c r="F91" s="135"/>
      <c r="G91" s="135"/>
      <c r="H91" s="135"/>
      <c r="I91" s="135"/>
      <c r="J91" s="135"/>
      <c r="K91" s="135"/>
      <c r="L91" s="135"/>
      <c r="M91" s="135"/>
      <c r="N91" s="135"/>
      <c r="O91" s="135"/>
      <c r="P91" s="135"/>
      <c r="Q91" s="135"/>
      <c r="R91" s="135"/>
      <c r="S91" s="135"/>
      <c r="T91" s="135"/>
      <c r="U91" s="135"/>
      <c r="V91" s="135"/>
      <c r="W91" s="135"/>
      <c r="X91" s="135"/>
      <c r="Y91" s="135"/>
      <c r="Z91" s="135"/>
    </row>
    <row r="92" spans="1:26" ht="15" customHeight="1">
      <c r="A92" s="135"/>
      <c r="B92" s="135"/>
      <c r="C92" s="135"/>
      <c r="D92" s="135"/>
      <c r="E92" s="135"/>
      <c r="F92" s="135"/>
      <c r="G92" s="135"/>
      <c r="H92" s="135"/>
      <c r="I92" s="135"/>
      <c r="J92" s="135"/>
      <c r="K92" s="135"/>
      <c r="L92" s="135"/>
      <c r="M92" s="135"/>
      <c r="N92" s="135"/>
      <c r="O92" s="135"/>
      <c r="P92" s="135"/>
      <c r="Q92" s="135"/>
      <c r="R92" s="135"/>
      <c r="S92" s="135"/>
      <c r="T92" s="135"/>
      <c r="U92" s="135"/>
      <c r="V92" s="135"/>
      <c r="W92" s="135"/>
      <c r="X92" s="135"/>
      <c r="Y92" s="135"/>
      <c r="Z92" s="135"/>
    </row>
    <row r="93" spans="1:26" ht="15" customHeight="1">
      <c r="A93" s="135"/>
      <c r="B93" s="135"/>
      <c r="C93" s="135"/>
      <c r="D93" s="135"/>
      <c r="E93" s="135"/>
      <c r="F93" s="135"/>
      <c r="G93" s="135"/>
      <c r="H93" s="135"/>
      <c r="I93" s="135"/>
      <c r="J93" s="135"/>
      <c r="K93" s="135"/>
      <c r="L93" s="135"/>
      <c r="M93" s="135"/>
      <c r="N93" s="135"/>
      <c r="O93" s="135"/>
      <c r="P93" s="135"/>
      <c r="Q93" s="135"/>
      <c r="R93" s="135"/>
      <c r="S93" s="135"/>
      <c r="T93" s="135"/>
      <c r="U93" s="135"/>
      <c r="V93" s="135"/>
      <c r="W93" s="135"/>
      <c r="X93" s="135"/>
      <c r="Y93" s="135"/>
      <c r="Z93" s="135"/>
    </row>
    <row r="94" spans="1:26" ht="15" customHeight="1">
      <c r="A94" s="135"/>
      <c r="B94" s="135"/>
      <c r="C94" s="135"/>
      <c r="D94" s="135"/>
      <c r="E94" s="135"/>
      <c r="F94" s="135"/>
      <c r="G94" s="135"/>
      <c r="H94" s="135"/>
      <c r="I94" s="135"/>
      <c r="J94" s="135"/>
      <c r="K94" s="135"/>
      <c r="L94" s="135"/>
      <c r="M94" s="135"/>
      <c r="N94" s="135"/>
      <c r="O94" s="135"/>
      <c r="P94" s="135"/>
      <c r="Q94" s="135"/>
      <c r="R94" s="135"/>
      <c r="S94" s="135"/>
      <c r="T94" s="135"/>
      <c r="U94" s="135"/>
      <c r="V94" s="135"/>
      <c r="W94" s="135"/>
      <c r="X94" s="135"/>
      <c r="Y94" s="135"/>
      <c r="Z94" s="135"/>
    </row>
    <row r="95" spans="1:26" ht="15" customHeight="1">
      <c r="A95" s="135"/>
      <c r="B95" s="135"/>
      <c r="C95" s="135"/>
      <c r="D95" s="135"/>
      <c r="E95" s="135"/>
      <c r="F95" s="135"/>
      <c r="G95" s="135"/>
      <c r="H95" s="135"/>
      <c r="I95" s="135"/>
      <c r="J95" s="135"/>
      <c r="K95" s="135"/>
      <c r="L95" s="135"/>
      <c r="M95" s="135"/>
      <c r="N95" s="135"/>
      <c r="O95" s="135"/>
      <c r="P95" s="135"/>
      <c r="Q95" s="135"/>
      <c r="R95" s="135"/>
      <c r="S95" s="135"/>
      <c r="T95" s="135"/>
      <c r="U95" s="135"/>
      <c r="V95" s="135"/>
      <c r="W95" s="135"/>
      <c r="X95" s="135"/>
      <c r="Y95" s="135"/>
      <c r="Z95" s="135"/>
    </row>
    <row r="96" spans="1:26" ht="15" customHeight="1">
      <c r="A96" s="135"/>
      <c r="B96" s="135"/>
      <c r="C96" s="135"/>
      <c r="D96" s="135"/>
      <c r="E96" s="135"/>
      <c r="F96" s="135"/>
      <c r="G96" s="135"/>
      <c r="H96" s="135"/>
      <c r="I96" s="135"/>
      <c r="J96" s="135"/>
      <c r="K96" s="135"/>
      <c r="L96" s="135"/>
      <c r="M96" s="135"/>
      <c r="N96" s="135"/>
      <c r="O96" s="135"/>
      <c r="P96" s="135"/>
      <c r="Q96" s="135"/>
      <c r="R96" s="135"/>
      <c r="S96" s="135"/>
      <c r="T96" s="135"/>
      <c r="U96" s="135"/>
      <c r="V96" s="135"/>
      <c r="W96" s="135"/>
      <c r="X96" s="135"/>
      <c r="Y96" s="135"/>
      <c r="Z96" s="135"/>
    </row>
    <row r="97" spans="1:26" ht="15" customHeight="1">
      <c r="A97" s="135"/>
      <c r="B97" s="135"/>
      <c r="C97" s="135"/>
      <c r="D97" s="135"/>
      <c r="E97" s="135"/>
      <c r="F97" s="135"/>
      <c r="G97" s="135"/>
      <c r="H97" s="135"/>
      <c r="I97" s="135"/>
      <c r="J97" s="135"/>
      <c r="K97" s="135"/>
      <c r="L97" s="135"/>
      <c r="M97" s="135"/>
      <c r="N97" s="135"/>
      <c r="O97" s="135"/>
      <c r="P97" s="135"/>
      <c r="Q97" s="135"/>
      <c r="R97" s="135"/>
      <c r="S97" s="135"/>
      <c r="T97" s="135"/>
      <c r="U97" s="135"/>
      <c r="V97" s="135"/>
      <c r="W97" s="135"/>
      <c r="X97" s="135"/>
      <c r="Y97" s="135"/>
      <c r="Z97" s="135"/>
    </row>
    <row r="98" spans="1:26" ht="15" customHeight="1">
      <c r="A98" s="135"/>
      <c r="B98" s="135"/>
      <c r="C98" s="135"/>
      <c r="D98" s="135"/>
      <c r="E98" s="135"/>
      <c r="F98" s="135"/>
      <c r="G98" s="135"/>
      <c r="H98" s="135"/>
      <c r="I98" s="135"/>
      <c r="J98" s="135"/>
      <c r="K98" s="135"/>
      <c r="L98" s="135"/>
      <c r="M98" s="135"/>
      <c r="N98" s="135"/>
      <c r="O98" s="135"/>
      <c r="P98" s="135"/>
      <c r="Q98" s="135"/>
      <c r="R98" s="135"/>
      <c r="S98" s="135"/>
      <c r="T98" s="135"/>
      <c r="U98" s="135"/>
      <c r="V98" s="135"/>
      <c r="W98" s="135"/>
      <c r="X98" s="135"/>
      <c r="Y98" s="135"/>
      <c r="Z98" s="135"/>
    </row>
    <row r="99" spans="1:26" ht="15" customHeight="1">
      <c r="A99" s="135"/>
      <c r="B99" s="135"/>
      <c r="C99" s="135"/>
      <c r="D99" s="135"/>
      <c r="E99" s="135"/>
      <c r="F99" s="135"/>
      <c r="G99" s="135"/>
      <c r="H99" s="135"/>
      <c r="I99" s="135"/>
      <c r="J99" s="135"/>
      <c r="K99" s="135"/>
      <c r="L99" s="135"/>
      <c r="M99" s="135"/>
      <c r="N99" s="135"/>
      <c r="O99" s="135"/>
      <c r="P99" s="135"/>
      <c r="Q99" s="135"/>
      <c r="R99" s="135"/>
      <c r="S99" s="135"/>
      <c r="T99" s="135"/>
      <c r="U99" s="135"/>
      <c r="V99" s="135"/>
      <c r="W99" s="135"/>
      <c r="X99" s="135"/>
      <c r="Y99" s="135"/>
      <c r="Z99" s="135"/>
    </row>
    <row r="100" spans="1:26" ht="15" customHeight="1">
      <c r="A100" s="135"/>
      <c r="B100" s="135"/>
      <c r="C100" s="135"/>
      <c r="D100" s="135"/>
      <c r="E100" s="135"/>
      <c r="F100" s="135"/>
      <c r="G100" s="135"/>
      <c r="H100" s="135"/>
      <c r="I100" s="135"/>
      <c r="J100" s="135"/>
      <c r="K100" s="135"/>
      <c r="L100" s="135"/>
      <c r="M100" s="135"/>
      <c r="N100" s="135"/>
      <c r="O100" s="135"/>
      <c r="P100" s="135"/>
      <c r="Q100" s="135"/>
      <c r="R100" s="135"/>
      <c r="S100" s="135"/>
      <c r="T100" s="135"/>
      <c r="U100" s="135"/>
      <c r="V100" s="135"/>
      <c r="W100" s="135"/>
      <c r="X100" s="135"/>
      <c r="Y100" s="135"/>
      <c r="Z100" s="135"/>
    </row>
  </sheetData>
  <mergeCells count="5">
    <mergeCell ref="B15:E15"/>
    <mergeCell ref="B14:E14"/>
    <mergeCell ref="A1:H1"/>
    <mergeCell ref="A2:H2"/>
    <mergeCell ref="B12:H1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I34"/>
  <sheetViews>
    <sheetView zoomScaleNormal="100" workbookViewId="0">
      <selection activeCell="E11" sqref="E11"/>
    </sheetView>
  </sheetViews>
  <sheetFormatPr defaultColWidth="8.7109375" defaultRowHeight="15"/>
  <cols>
    <col min="1" max="1" width="12" style="13" customWidth="1"/>
    <col min="2" max="3" width="10" style="13" customWidth="1"/>
    <col min="4" max="31" width="14" style="13" customWidth="1"/>
    <col min="32" max="32" width="27.85546875" style="13" customWidth="1"/>
    <col min="33" max="33" width="15.85546875" style="13" customWidth="1"/>
  </cols>
  <sheetData>
    <row r="1" spans="1:35" ht="15" customHeight="1">
      <c r="A1" s="301" t="s">
        <v>868</v>
      </c>
      <c r="B1" s="301"/>
      <c r="C1" s="301"/>
      <c r="D1" s="301"/>
      <c r="E1" s="301"/>
      <c r="F1" s="301"/>
      <c r="G1" s="301"/>
      <c r="H1" s="301"/>
      <c r="I1" s="301"/>
      <c r="J1" s="301"/>
      <c r="K1" s="301"/>
      <c r="L1" s="301"/>
      <c r="M1" s="301"/>
      <c r="N1" s="301"/>
      <c r="O1" s="301"/>
      <c r="P1" s="301"/>
      <c r="Q1" s="301"/>
      <c r="R1" s="301"/>
      <c r="S1" s="301"/>
      <c r="T1" s="301"/>
      <c r="U1" s="301"/>
      <c r="V1" s="301"/>
      <c r="W1" s="301"/>
      <c r="X1" s="301"/>
      <c r="Y1" s="301"/>
      <c r="Z1" s="301"/>
      <c r="AA1" s="301"/>
      <c r="AB1" s="301"/>
      <c r="AC1" s="301"/>
      <c r="AD1" s="301"/>
      <c r="AE1" s="301"/>
      <c r="AF1" s="301"/>
      <c r="AG1" s="301"/>
      <c r="AH1" s="1"/>
      <c r="AI1" s="1"/>
    </row>
    <row r="2" spans="1:35" ht="27.75" customHeight="1">
      <c r="A2" s="278" t="s">
        <v>869</v>
      </c>
      <c r="B2" s="278"/>
      <c r="C2" s="278"/>
      <c r="D2" s="278"/>
      <c r="E2" s="278"/>
      <c r="F2" s="278"/>
      <c r="G2" s="278"/>
      <c r="H2" s="278"/>
      <c r="I2" s="278"/>
      <c r="J2" s="278"/>
      <c r="K2" s="278"/>
      <c r="L2" s="278"/>
      <c r="M2" s="278"/>
      <c r="N2" s="278"/>
      <c r="O2" s="278"/>
      <c r="P2" s="278"/>
      <c r="Q2" s="278"/>
      <c r="R2" s="278"/>
      <c r="S2" s="278"/>
      <c r="T2" s="278"/>
      <c r="U2" s="278"/>
      <c r="V2" s="278"/>
      <c r="W2" s="278"/>
      <c r="X2" s="278"/>
      <c r="Y2" s="278"/>
      <c r="Z2" s="278"/>
      <c r="AA2" s="278"/>
      <c r="AB2" s="278"/>
      <c r="AC2" s="278"/>
      <c r="AD2" s="278"/>
      <c r="AE2" s="278"/>
      <c r="AF2" s="278"/>
      <c r="AG2" s="278"/>
      <c r="AH2" s="1"/>
      <c r="AI2" s="1"/>
    </row>
    <row r="3" spans="1:35" ht="15" customHeight="1">
      <c r="A3" s="54" t="s">
        <v>191</v>
      </c>
      <c r="B3" s="54" t="s">
        <v>870</v>
      </c>
      <c r="C3" s="54" t="s">
        <v>414</v>
      </c>
      <c r="D3" s="112" t="s">
        <v>871</v>
      </c>
      <c r="E3" s="54" t="s">
        <v>872</v>
      </c>
      <c r="F3" s="54" t="s">
        <v>873</v>
      </c>
      <c r="G3" s="54" t="s">
        <v>874</v>
      </c>
      <c r="H3" s="54" t="s">
        <v>875</v>
      </c>
      <c r="I3" s="54" t="s">
        <v>876</v>
      </c>
      <c r="J3" s="112" t="s">
        <v>877</v>
      </c>
      <c r="K3" s="54" t="s">
        <v>878</v>
      </c>
      <c r="L3" s="54" t="s">
        <v>879</v>
      </c>
      <c r="M3" s="54" t="s">
        <v>880</v>
      </c>
      <c r="N3" s="54" t="s">
        <v>881</v>
      </c>
      <c r="O3" s="54" t="s">
        <v>882</v>
      </c>
      <c r="P3" s="54" t="s">
        <v>427</v>
      </c>
      <c r="Q3" s="54" t="s">
        <v>883</v>
      </c>
      <c r="R3" s="54" t="s">
        <v>884</v>
      </c>
      <c r="S3" s="54" t="s">
        <v>885</v>
      </c>
      <c r="T3" s="54" t="s">
        <v>886</v>
      </c>
      <c r="U3" s="54" t="s">
        <v>887</v>
      </c>
      <c r="V3" s="54" t="s">
        <v>888</v>
      </c>
      <c r="W3" s="54" t="s">
        <v>889</v>
      </c>
      <c r="X3" s="54" t="s">
        <v>890</v>
      </c>
      <c r="Y3" s="54" t="s">
        <v>891</v>
      </c>
      <c r="Z3" s="54" t="s">
        <v>892</v>
      </c>
      <c r="AA3" s="54" t="s">
        <v>893</v>
      </c>
      <c r="AB3" s="54" t="s">
        <v>314</v>
      </c>
      <c r="AC3" s="112" t="s">
        <v>894</v>
      </c>
      <c r="AD3" s="112" t="s">
        <v>895</v>
      </c>
      <c r="AE3" s="112" t="s">
        <v>773</v>
      </c>
      <c r="AF3" s="54" t="s">
        <v>896</v>
      </c>
      <c r="AG3" s="112" t="s">
        <v>897</v>
      </c>
      <c r="AH3" s="1"/>
      <c r="AI3" s="229"/>
    </row>
    <row r="4" spans="1:35" ht="15" customHeight="1">
      <c r="A4" s="13" t="s">
        <v>197</v>
      </c>
      <c r="B4" s="13">
        <v>2019</v>
      </c>
      <c r="C4" s="13" t="s">
        <v>245</v>
      </c>
      <c r="D4" s="101">
        <v>1375</v>
      </c>
      <c r="E4" s="101">
        <v>0</v>
      </c>
      <c r="F4" s="101">
        <v>0</v>
      </c>
      <c r="G4" s="101">
        <v>300</v>
      </c>
      <c r="H4" s="101">
        <v>0</v>
      </c>
      <c r="I4" s="101">
        <v>0</v>
      </c>
      <c r="J4" s="101">
        <v>0</v>
      </c>
      <c r="K4" s="101">
        <v>0</v>
      </c>
      <c r="L4" s="101">
        <v>0</v>
      </c>
      <c r="M4" s="101">
        <v>0</v>
      </c>
      <c r="N4" s="101">
        <v>0</v>
      </c>
      <c r="O4" s="101">
        <v>125</v>
      </c>
      <c r="P4" s="101">
        <v>1800</v>
      </c>
      <c r="Q4" s="101">
        <v>0</v>
      </c>
      <c r="R4" s="101">
        <v>0</v>
      </c>
      <c r="S4" s="101">
        <v>562.6</v>
      </c>
      <c r="T4" s="101">
        <v>0</v>
      </c>
      <c r="U4" s="101">
        <v>0</v>
      </c>
      <c r="V4" s="101">
        <v>0</v>
      </c>
      <c r="W4" s="101">
        <v>0</v>
      </c>
      <c r="X4" s="101">
        <v>0</v>
      </c>
      <c r="Y4" s="101">
        <v>0</v>
      </c>
      <c r="Z4" s="101">
        <v>0</v>
      </c>
      <c r="AA4" s="101">
        <v>0</v>
      </c>
      <c r="AB4" s="101">
        <v>562.6</v>
      </c>
      <c r="AC4" s="101">
        <v>1237.4000000000001</v>
      </c>
      <c r="AD4" s="101">
        <v>0</v>
      </c>
      <c r="AE4" s="101">
        <v>0</v>
      </c>
      <c r="AF4" s="230"/>
      <c r="AG4" s="101">
        <v>1237.4000000000001</v>
      </c>
      <c r="AH4" s="1"/>
      <c r="AI4" s="229"/>
    </row>
    <row r="5" spans="1:35" ht="15" customHeight="1">
      <c r="A5" s="13" t="s">
        <v>199</v>
      </c>
      <c r="B5" s="13">
        <v>2019</v>
      </c>
      <c r="C5" s="13" t="s">
        <v>246</v>
      </c>
      <c r="D5" s="101">
        <v>1875</v>
      </c>
      <c r="E5" s="101">
        <v>0</v>
      </c>
      <c r="F5" s="101">
        <v>0</v>
      </c>
      <c r="G5" s="101">
        <v>900</v>
      </c>
      <c r="H5" s="101">
        <v>0</v>
      </c>
      <c r="I5" s="101">
        <v>0</v>
      </c>
      <c r="J5" s="101">
        <v>0</v>
      </c>
      <c r="K5" s="101">
        <v>0</v>
      </c>
      <c r="L5" s="101">
        <v>0</v>
      </c>
      <c r="M5" s="101">
        <v>0</v>
      </c>
      <c r="N5" s="101">
        <v>0</v>
      </c>
      <c r="O5" s="101">
        <v>0</v>
      </c>
      <c r="P5" s="101">
        <v>2775</v>
      </c>
      <c r="Q5" s="101">
        <v>0</v>
      </c>
      <c r="R5" s="101">
        <v>2775</v>
      </c>
      <c r="S5" s="101">
        <v>702.27</v>
      </c>
      <c r="T5" s="101">
        <v>50</v>
      </c>
      <c r="U5" s="101">
        <v>0</v>
      </c>
      <c r="V5" s="101">
        <v>0</v>
      </c>
      <c r="W5" s="101">
        <v>0</v>
      </c>
      <c r="X5" s="101">
        <v>0</v>
      </c>
      <c r="Y5" s="101">
        <v>0</v>
      </c>
      <c r="Z5" s="101">
        <v>200</v>
      </c>
      <c r="AA5" s="101">
        <v>211.25</v>
      </c>
      <c r="AB5" s="101">
        <v>3938.52</v>
      </c>
      <c r="AC5" s="101">
        <v>-1163.52</v>
      </c>
      <c r="AD5" s="101">
        <v>0</v>
      </c>
      <c r="AE5" s="101">
        <v>0</v>
      </c>
      <c r="AF5" s="230"/>
      <c r="AG5" s="101">
        <v>-1163.52</v>
      </c>
      <c r="AH5" s="1"/>
      <c r="AI5" s="229"/>
    </row>
    <row r="6" spans="1:35" ht="15" customHeight="1">
      <c r="A6" s="13" t="s">
        <v>201</v>
      </c>
      <c r="B6" s="13">
        <v>2020</v>
      </c>
      <c r="C6" s="13" t="s">
        <v>247</v>
      </c>
      <c r="D6" s="101">
        <v>3237.5</v>
      </c>
      <c r="E6" s="101">
        <v>0</v>
      </c>
      <c r="F6" s="101">
        <v>0</v>
      </c>
      <c r="G6" s="101">
        <v>1437.5</v>
      </c>
      <c r="H6" s="101">
        <v>0</v>
      </c>
      <c r="I6" s="101">
        <v>0</v>
      </c>
      <c r="J6" s="101">
        <v>0</v>
      </c>
      <c r="K6" s="101">
        <v>225</v>
      </c>
      <c r="L6" s="101">
        <v>375</v>
      </c>
      <c r="M6" s="101">
        <v>0</v>
      </c>
      <c r="N6" s="101">
        <v>0</v>
      </c>
      <c r="O6" s="101">
        <v>200</v>
      </c>
      <c r="P6" s="101">
        <v>5475</v>
      </c>
      <c r="Q6" s="101">
        <v>462.5</v>
      </c>
      <c r="R6" s="101">
        <v>2800</v>
      </c>
      <c r="S6" s="101">
        <v>399</v>
      </c>
      <c r="T6" s="101">
        <v>75</v>
      </c>
      <c r="U6" s="101">
        <v>0</v>
      </c>
      <c r="V6" s="101">
        <v>0</v>
      </c>
      <c r="W6" s="101">
        <v>0</v>
      </c>
      <c r="X6" s="101">
        <v>234.38</v>
      </c>
      <c r="Y6" s="101">
        <v>146.99</v>
      </c>
      <c r="Z6" s="101">
        <v>0</v>
      </c>
      <c r="AA6" s="101">
        <v>117.12</v>
      </c>
      <c r="AB6" s="101">
        <v>4234.99</v>
      </c>
      <c r="AC6" s="101">
        <v>1240.01</v>
      </c>
      <c r="AD6" s="101">
        <v>0</v>
      </c>
      <c r="AE6" s="101">
        <v>150</v>
      </c>
      <c r="AF6" s="230"/>
      <c r="AG6" s="101">
        <v>1090.01</v>
      </c>
      <c r="AH6" s="1"/>
      <c r="AI6" s="229"/>
    </row>
    <row r="7" spans="1:35" ht="15" customHeight="1">
      <c r="A7" s="13" t="s">
        <v>203</v>
      </c>
      <c r="B7" s="13">
        <v>2020</v>
      </c>
      <c r="C7" s="13" t="s">
        <v>248</v>
      </c>
      <c r="D7" s="101">
        <v>3162.5</v>
      </c>
      <c r="E7" s="101">
        <v>0</v>
      </c>
      <c r="F7" s="101">
        <v>0</v>
      </c>
      <c r="G7" s="101">
        <v>1075</v>
      </c>
      <c r="H7" s="101">
        <v>0</v>
      </c>
      <c r="I7" s="101">
        <v>0</v>
      </c>
      <c r="J7" s="101">
        <v>0</v>
      </c>
      <c r="K7" s="101">
        <v>50</v>
      </c>
      <c r="L7" s="101">
        <v>250</v>
      </c>
      <c r="M7" s="101">
        <v>0</v>
      </c>
      <c r="N7" s="101">
        <v>0</v>
      </c>
      <c r="O7" s="101">
        <v>400</v>
      </c>
      <c r="P7" s="101">
        <v>4937.5</v>
      </c>
      <c r="Q7" s="101">
        <v>412.5</v>
      </c>
      <c r="R7" s="101">
        <v>2800</v>
      </c>
      <c r="S7" s="101">
        <v>299.5</v>
      </c>
      <c r="T7" s="101">
        <v>112.5</v>
      </c>
      <c r="U7" s="101">
        <v>0</v>
      </c>
      <c r="V7" s="101">
        <v>0</v>
      </c>
      <c r="W7" s="101">
        <v>50</v>
      </c>
      <c r="X7" s="101">
        <v>0</v>
      </c>
      <c r="Y7" s="101">
        <v>32.659999999999997</v>
      </c>
      <c r="Z7" s="101">
        <v>0</v>
      </c>
      <c r="AA7" s="101">
        <v>199.75</v>
      </c>
      <c r="AB7" s="101">
        <v>3906.91</v>
      </c>
      <c r="AC7" s="101">
        <v>1030.5899999999999</v>
      </c>
      <c r="AD7" s="101">
        <v>0</v>
      </c>
      <c r="AE7" s="101">
        <v>537.5</v>
      </c>
      <c r="AF7" s="230"/>
      <c r="AG7" s="101">
        <v>493.09</v>
      </c>
      <c r="AH7" s="1"/>
      <c r="AI7" s="229"/>
    </row>
    <row r="8" spans="1:35" ht="15" customHeight="1">
      <c r="A8" s="13" t="s">
        <v>204</v>
      </c>
      <c r="B8" s="13">
        <v>2020</v>
      </c>
      <c r="C8" s="13" t="s">
        <v>249</v>
      </c>
      <c r="D8" s="101">
        <v>2775</v>
      </c>
      <c r="E8" s="101">
        <v>0</v>
      </c>
      <c r="F8" s="101">
        <v>656.25</v>
      </c>
      <c r="G8" s="101">
        <v>1475</v>
      </c>
      <c r="H8" s="101">
        <v>0</v>
      </c>
      <c r="I8" s="101">
        <v>0</v>
      </c>
      <c r="J8" s="101">
        <v>0</v>
      </c>
      <c r="K8" s="101">
        <v>50</v>
      </c>
      <c r="L8" s="101">
        <v>312.5</v>
      </c>
      <c r="M8" s="101">
        <v>0</v>
      </c>
      <c r="N8" s="101">
        <v>0</v>
      </c>
      <c r="O8" s="101">
        <v>0</v>
      </c>
      <c r="P8" s="101">
        <v>5268.75</v>
      </c>
      <c r="Q8" s="101">
        <v>150</v>
      </c>
      <c r="R8" s="101">
        <v>2800</v>
      </c>
      <c r="S8" s="101">
        <v>612</v>
      </c>
      <c r="T8" s="101">
        <v>125</v>
      </c>
      <c r="U8" s="101">
        <v>57.75</v>
      </c>
      <c r="V8" s="101">
        <v>0</v>
      </c>
      <c r="W8" s="101">
        <v>131.25</v>
      </c>
      <c r="X8" s="101">
        <v>81.25</v>
      </c>
      <c r="Y8" s="101">
        <v>32.659999999999997</v>
      </c>
      <c r="Z8" s="101">
        <v>974.25</v>
      </c>
      <c r="AA8" s="101">
        <v>98.75</v>
      </c>
      <c r="AB8" s="101">
        <v>5062.91</v>
      </c>
      <c r="AC8" s="101">
        <v>205.84</v>
      </c>
      <c r="AD8" s="101">
        <v>0</v>
      </c>
      <c r="AE8" s="101">
        <v>150</v>
      </c>
      <c r="AF8" s="230"/>
      <c r="AG8" s="101">
        <v>55.84</v>
      </c>
      <c r="AH8" s="1"/>
      <c r="AI8" s="231"/>
    </row>
    <row r="9" spans="1:35" ht="15" customHeight="1">
      <c r="A9" s="13" t="s">
        <v>206</v>
      </c>
      <c r="B9" s="13">
        <v>2020</v>
      </c>
      <c r="C9" s="13" t="s">
        <v>250</v>
      </c>
      <c r="D9" s="101">
        <v>3612.5</v>
      </c>
      <c r="E9" s="101">
        <v>0</v>
      </c>
      <c r="F9" s="101">
        <v>1037.5</v>
      </c>
      <c r="G9" s="101">
        <v>593.75</v>
      </c>
      <c r="H9" s="101">
        <v>0</v>
      </c>
      <c r="I9" s="101">
        <v>0</v>
      </c>
      <c r="J9" s="101">
        <v>0</v>
      </c>
      <c r="K9" s="101">
        <v>0</v>
      </c>
      <c r="L9" s="101">
        <v>0</v>
      </c>
      <c r="M9" s="101">
        <v>0</v>
      </c>
      <c r="N9" s="101">
        <v>0</v>
      </c>
      <c r="O9" s="101">
        <v>0</v>
      </c>
      <c r="P9" s="101">
        <v>5243.75</v>
      </c>
      <c r="Q9" s="101">
        <v>625</v>
      </c>
      <c r="R9" s="101">
        <v>1401.38</v>
      </c>
      <c r="S9" s="101">
        <v>183.27</v>
      </c>
      <c r="T9" s="101">
        <v>150</v>
      </c>
      <c r="U9" s="101">
        <v>22.5</v>
      </c>
      <c r="V9" s="101">
        <v>0</v>
      </c>
      <c r="W9" s="101">
        <v>0</v>
      </c>
      <c r="X9" s="101">
        <v>0</v>
      </c>
      <c r="Y9" s="101">
        <v>0</v>
      </c>
      <c r="Z9" s="101">
        <v>686.87</v>
      </c>
      <c r="AA9" s="101">
        <v>461.12</v>
      </c>
      <c r="AB9" s="101">
        <v>3530.14</v>
      </c>
      <c r="AC9" s="101">
        <v>1713.61</v>
      </c>
      <c r="AD9" s="101">
        <v>0</v>
      </c>
      <c r="AE9" s="101">
        <v>625</v>
      </c>
      <c r="AF9" s="232" t="s">
        <v>898</v>
      </c>
      <c r="AG9" s="101">
        <v>1088.6099999999999</v>
      </c>
      <c r="AH9" s="1"/>
      <c r="AI9" s="229"/>
    </row>
    <row r="10" spans="1:35" ht="15" customHeight="1">
      <c r="A10" s="13" t="s">
        <v>208</v>
      </c>
      <c r="B10" s="13">
        <v>2020</v>
      </c>
      <c r="C10" s="13" t="s">
        <v>251</v>
      </c>
      <c r="D10" s="101">
        <v>3312.5</v>
      </c>
      <c r="E10" s="101">
        <v>0</v>
      </c>
      <c r="F10" s="101">
        <v>1762.5</v>
      </c>
      <c r="G10" s="101">
        <v>1162.5</v>
      </c>
      <c r="H10" s="101">
        <v>0</v>
      </c>
      <c r="I10" s="101">
        <v>0</v>
      </c>
      <c r="J10" s="101">
        <v>0</v>
      </c>
      <c r="K10" s="101">
        <v>87.5</v>
      </c>
      <c r="L10" s="101">
        <v>0</v>
      </c>
      <c r="M10" s="101">
        <v>0</v>
      </c>
      <c r="N10" s="101">
        <v>0</v>
      </c>
      <c r="O10" s="101">
        <v>225</v>
      </c>
      <c r="P10" s="101">
        <v>6550</v>
      </c>
      <c r="Q10" s="101">
        <v>862.5</v>
      </c>
      <c r="R10" s="101">
        <v>1401.38</v>
      </c>
      <c r="S10" s="101">
        <v>30.45</v>
      </c>
      <c r="T10" s="101">
        <v>125</v>
      </c>
      <c r="U10" s="101">
        <v>0</v>
      </c>
      <c r="V10" s="101">
        <v>0</v>
      </c>
      <c r="W10" s="101">
        <v>0</v>
      </c>
      <c r="X10" s="101">
        <v>531.25</v>
      </c>
      <c r="Y10" s="101">
        <v>57.16</v>
      </c>
      <c r="Z10" s="101">
        <v>0</v>
      </c>
      <c r="AA10" s="101">
        <v>41.37</v>
      </c>
      <c r="AB10" s="101">
        <v>3049.11</v>
      </c>
      <c r="AC10" s="101">
        <v>3500.89</v>
      </c>
      <c r="AD10" s="101">
        <v>0</v>
      </c>
      <c r="AE10" s="101">
        <v>1750</v>
      </c>
      <c r="AF10" s="230"/>
      <c r="AG10" s="101">
        <v>1750.89</v>
      </c>
      <c r="AH10" s="1"/>
      <c r="AI10" s="229"/>
    </row>
    <row r="11" spans="1:35" ht="15" customHeight="1">
      <c r="A11" s="13" t="s">
        <v>210</v>
      </c>
      <c r="B11" s="13">
        <v>2020</v>
      </c>
      <c r="C11" s="13" t="s">
        <v>252</v>
      </c>
      <c r="D11" s="101">
        <v>3006.25</v>
      </c>
      <c r="E11" s="101">
        <v>0</v>
      </c>
      <c r="F11" s="101">
        <v>2206.25</v>
      </c>
      <c r="G11" s="101">
        <v>875</v>
      </c>
      <c r="H11" s="101">
        <v>0</v>
      </c>
      <c r="I11" s="101">
        <v>0</v>
      </c>
      <c r="J11" s="101">
        <v>0</v>
      </c>
      <c r="K11" s="101">
        <v>0</v>
      </c>
      <c r="L11" s="101">
        <v>243.75</v>
      </c>
      <c r="M11" s="101">
        <v>0</v>
      </c>
      <c r="N11" s="101">
        <v>0</v>
      </c>
      <c r="O11" s="101">
        <v>12.5</v>
      </c>
      <c r="P11" s="101">
        <v>6343.75</v>
      </c>
      <c r="Q11" s="101">
        <v>750</v>
      </c>
      <c r="R11" s="101">
        <v>2800</v>
      </c>
      <c r="S11" s="101">
        <v>91.13</v>
      </c>
      <c r="T11" s="101">
        <v>168.75</v>
      </c>
      <c r="U11" s="101">
        <v>0</v>
      </c>
      <c r="V11" s="101">
        <v>0</v>
      </c>
      <c r="W11" s="101">
        <v>87.5</v>
      </c>
      <c r="X11" s="101">
        <v>0</v>
      </c>
      <c r="Y11" s="101">
        <v>0</v>
      </c>
      <c r="Z11" s="101">
        <v>0</v>
      </c>
      <c r="AA11" s="101">
        <v>0</v>
      </c>
      <c r="AB11" s="101">
        <v>3897.38</v>
      </c>
      <c r="AC11" s="101">
        <v>2446.37</v>
      </c>
      <c r="AD11" s="101">
        <v>0</v>
      </c>
      <c r="AE11" s="101">
        <v>5312.5</v>
      </c>
      <c r="AF11" s="232" t="s">
        <v>899</v>
      </c>
      <c r="AG11" s="101">
        <v>-2866.13</v>
      </c>
      <c r="AH11" s="1"/>
      <c r="AI11" s="229"/>
    </row>
    <row r="12" spans="1:35" ht="15" customHeight="1">
      <c r="A12" s="13" t="s">
        <v>211</v>
      </c>
      <c r="B12" s="13">
        <v>2020</v>
      </c>
      <c r="C12" s="13" t="s">
        <v>253</v>
      </c>
      <c r="D12" s="101">
        <v>6037.5</v>
      </c>
      <c r="E12" s="101">
        <v>2000</v>
      </c>
      <c r="F12" s="101">
        <v>2037.5</v>
      </c>
      <c r="G12" s="101">
        <v>0</v>
      </c>
      <c r="H12" s="101">
        <v>0</v>
      </c>
      <c r="I12" s="101">
        <v>0</v>
      </c>
      <c r="J12" s="101">
        <v>0</v>
      </c>
      <c r="K12" s="101">
        <v>93.75</v>
      </c>
      <c r="L12" s="101">
        <v>650</v>
      </c>
      <c r="M12" s="101">
        <v>0</v>
      </c>
      <c r="N12" s="101">
        <v>0</v>
      </c>
      <c r="O12" s="101">
        <v>18.75</v>
      </c>
      <c r="P12" s="101">
        <v>10837.5</v>
      </c>
      <c r="Q12" s="101">
        <v>1867.5</v>
      </c>
      <c r="R12" s="101">
        <v>2800</v>
      </c>
      <c r="S12" s="101">
        <v>103</v>
      </c>
      <c r="T12" s="101">
        <v>467.5</v>
      </c>
      <c r="U12" s="101">
        <v>0</v>
      </c>
      <c r="V12" s="101">
        <v>0</v>
      </c>
      <c r="W12" s="101">
        <v>0</v>
      </c>
      <c r="X12" s="101">
        <v>400</v>
      </c>
      <c r="Y12" s="101">
        <v>61.25</v>
      </c>
      <c r="Z12" s="101">
        <v>1909.99</v>
      </c>
      <c r="AA12" s="101">
        <v>408.13</v>
      </c>
      <c r="AB12" s="101">
        <v>8017.37</v>
      </c>
      <c r="AC12" s="101">
        <v>2820.13</v>
      </c>
      <c r="AD12" s="101">
        <v>5875</v>
      </c>
      <c r="AE12" s="101">
        <v>1625</v>
      </c>
      <c r="AF12" s="232" t="s">
        <v>900</v>
      </c>
      <c r="AG12" s="101">
        <v>7070.13</v>
      </c>
      <c r="AH12" s="1"/>
      <c r="AI12" s="229"/>
    </row>
    <row r="13" spans="1:35" ht="15" customHeight="1">
      <c r="A13" s="13" t="s">
        <v>212</v>
      </c>
      <c r="B13" s="13">
        <v>2020</v>
      </c>
      <c r="C13" s="13" t="s">
        <v>254</v>
      </c>
      <c r="D13" s="101">
        <v>5012.5</v>
      </c>
      <c r="E13" s="101">
        <v>1250</v>
      </c>
      <c r="F13" s="101">
        <v>2306.25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8568.75</v>
      </c>
      <c r="Q13" s="101">
        <v>562.5</v>
      </c>
      <c r="R13" s="101">
        <v>2800</v>
      </c>
      <c r="S13" s="101">
        <v>76.88</v>
      </c>
      <c r="T13" s="101">
        <v>320.75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Z13" s="101">
        <v>0</v>
      </c>
      <c r="AA13" s="101">
        <v>106.25</v>
      </c>
      <c r="AB13" s="101">
        <v>3866.38</v>
      </c>
      <c r="AC13" s="101">
        <v>4702.37</v>
      </c>
      <c r="AD13" s="101">
        <v>0</v>
      </c>
      <c r="AE13" s="101">
        <v>0</v>
      </c>
      <c r="AF13" s="232" t="s">
        <v>901</v>
      </c>
      <c r="AG13" s="101">
        <v>4702.37</v>
      </c>
      <c r="AH13" s="1"/>
      <c r="AI13" s="229"/>
    </row>
    <row r="14" spans="1:35" ht="15" customHeight="1">
      <c r="A14" s="13" t="s">
        <v>213</v>
      </c>
      <c r="B14" s="13">
        <v>2020</v>
      </c>
      <c r="C14" s="13" t="s">
        <v>245</v>
      </c>
      <c r="D14" s="101">
        <v>3612.5</v>
      </c>
      <c r="E14" s="101">
        <v>1750</v>
      </c>
      <c r="F14" s="101">
        <v>2018.75</v>
      </c>
      <c r="G14" s="101">
        <v>0</v>
      </c>
      <c r="H14" s="101">
        <v>0</v>
      </c>
      <c r="I14" s="101">
        <v>0</v>
      </c>
      <c r="J14" s="101">
        <v>0</v>
      </c>
      <c r="K14" s="101">
        <v>62.5</v>
      </c>
      <c r="L14" s="101">
        <v>0</v>
      </c>
      <c r="M14" s="101">
        <v>0</v>
      </c>
      <c r="N14" s="101">
        <v>0</v>
      </c>
      <c r="O14" s="101">
        <v>0</v>
      </c>
      <c r="P14" s="101">
        <v>7443.75</v>
      </c>
      <c r="Q14" s="101">
        <v>1550</v>
      </c>
      <c r="R14" s="101">
        <v>2800</v>
      </c>
      <c r="S14" s="101">
        <v>95.19</v>
      </c>
      <c r="T14" s="101">
        <v>660.76</v>
      </c>
      <c r="U14" s="101">
        <v>0</v>
      </c>
      <c r="V14" s="101">
        <v>0</v>
      </c>
      <c r="W14" s="101">
        <v>0</v>
      </c>
      <c r="X14" s="101">
        <v>0</v>
      </c>
      <c r="Y14" s="101">
        <v>40.83</v>
      </c>
      <c r="Z14" s="101">
        <v>300</v>
      </c>
      <c r="AA14" s="101">
        <v>45</v>
      </c>
      <c r="AB14" s="101">
        <v>5491.78</v>
      </c>
      <c r="AC14" s="101">
        <v>1951.97</v>
      </c>
      <c r="AD14" s="101">
        <v>0</v>
      </c>
      <c r="AE14" s="101">
        <v>2625</v>
      </c>
      <c r="AF14" s="230"/>
      <c r="AG14" s="101">
        <v>-673.03</v>
      </c>
      <c r="AH14" s="1"/>
      <c r="AI14" s="229"/>
    </row>
    <row r="15" spans="1:35" ht="15" customHeight="1">
      <c r="A15" s="13" t="s">
        <v>214</v>
      </c>
      <c r="B15" s="13">
        <v>2020</v>
      </c>
      <c r="C15" s="13" t="s">
        <v>246</v>
      </c>
      <c r="D15" s="101">
        <v>4393.75</v>
      </c>
      <c r="E15" s="101">
        <v>2000</v>
      </c>
      <c r="F15" s="101">
        <v>1931.25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243.75</v>
      </c>
      <c r="M15" s="101">
        <v>0</v>
      </c>
      <c r="N15" s="101">
        <v>0</v>
      </c>
      <c r="O15" s="101">
        <v>0</v>
      </c>
      <c r="P15" s="101">
        <v>8568.75</v>
      </c>
      <c r="Q15" s="101">
        <v>1550</v>
      </c>
      <c r="R15" s="101">
        <v>2800</v>
      </c>
      <c r="S15" s="101">
        <v>268.75</v>
      </c>
      <c r="T15" s="101">
        <v>114.75</v>
      </c>
      <c r="U15" s="101">
        <v>124.5</v>
      </c>
      <c r="V15" s="101">
        <v>0</v>
      </c>
      <c r="W15" s="101">
        <v>0</v>
      </c>
      <c r="X15" s="101">
        <v>312.5</v>
      </c>
      <c r="Y15" s="101">
        <v>0</v>
      </c>
      <c r="Z15" s="101">
        <v>187.5</v>
      </c>
      <c r="AA15" s="101">
        <v>233</v>
      </c>
      <c r="AB15" s="101">
        <v>5591</v>
      </c>
      <c r="AC15" s="101">
        <v>2977.75</v>
      </c>
      <c r="AD15" s="101">
        <v>0</v>
      </c>
      <c r="AE15" s="101">
        <v>2375</v>
      </c>
      <c r="AF15" s="230"/>
      <c r="AG15" s="101">
        <v>602.75</v>
      </c>
      <c r="AH15" s="1"/>
      <c r="AI15" s="229"/>
    </row>
    <row r="16" spans="1:35" ht="15" customHeight="1">
      <c r="A16" s="13" t="s">
        <v>215</v>
      </c>
      <c r="B16" s="13">
        <v>2021</v>
      </c>
      <c r="C16" s="13" t="s">
        <v>247</v>
      </c>
      <c r="D16" s="101">
        <v>3512.5</v>
      </c>
      <c r="E16" s="101">
        <v>1312.5</v>
      </c>
      <c r="F16" s="101">
        <v>1806.25</v>
      </c>
      <c r="G16" s="101">
        <v>0</v>
      </c>
      <c r="H16" s="101">
        <v>0</v>
      </c>
      <c r="I16" s="101">
        <v>0</v>
      </c>
      <c r="J16" s="101">
        <v>0</v>
      </c>
      <c r="K16" s="101">
        <v>0</v>
      </c>
      <c r="L16" s="101">
        <v>0</v>
      </c>
      <c r="M16" s="101">
        <v>0</v>
      </c>
      <c r="N16" s="101">
        <v>0</v>
      </c>
      <c r="O16" s="101">
        <v>0</v>
      </c>
      <c r="P16" s="101">
        <v>6631.25</v>
      </c>
      <c r="Q16" s="101">
        <v>400</v>
      </c>
      <c r="R16" s="101">
        <v>2802.5</v>
      </c>
      <c r="S16" s="101">
        <v>295.57</v>
      </c>
      <c r="T16" s="101">
        <v>197.5</v>
      </c>
      <c r="U16" s="101">
        <v>87.5</v>
      </c>
      <c r="V16" s="101">
        <v>0</v>
      </c>
      <c r="W16" s="101">
        <v>0</v>
      </c>
      <c r="X16" s="101">
        <v>0</v>
      </c>
      <c r="Y16" s="101">
        <v>0</v>
      </c>
      <c r="Z16" s="101">
        <v>0</v>
      </c>
      <c r="AA16" s="101">
        <v>154.38</v>
      </c>
      <c r="AB16" s="101">
        <v>3937.45</v>
      </c>
      <c r="AC16" s="101">
        <v>2693.8</v>
      </c>
      <c r="AD16" s="101">
        <v>0</v>
      </c>
      <c r="AE16" s="101">
        <v>0</v>
      </c>
      <c r="AF16" s="230"/>
      <c r="AG16" s="101">
        <v>2693.8</v>
      </c>
      <c r="AH16" s="1"/>
      <c r="AI16" s="229"/>
    </row>
    <row r="17" spans="1:35" ht="15" customHeight="1">
      <c r="A17" s="13" t="s">
        <v>216</v>
      </c>
      <c r="B17" s="13">
        <v>2021</v>
      </c>
      <c r="C17" s="13" t="s">
        <v>248</v>
      </c>
      <c r="D17" s="101">
        <v>3362.5</v>
      </c>
      <c r="E17" s="101">
        <v>2125</v>
      </c>
      <c r="F17" s="101">
        <v>1056.25</v>
      </c>
      <c r="G17" s="101">
        <v>0</v>
      </c>
      <c r="H17" s="101">
        <v>0</v>
      </c>
      <c r="I17" s="101">
        <v>0</v>
      </c>
      <c r="J17" s="101">
        <v>0</v>
      </c>
      <c r="K17" s="101">
        <v>95</v>
      </c>
      <c r="L17" s="101">
        <v>0</v>
      </c>
      <c r="M17" s="101">
        <v>0</v>
      </c>
      <c r="N17" s="101">
        <v>46.24</v>
      </c>
      <c r="O17" s="101">
        <v>14.25</v>
      </c>
      <c r="P17" s="101">
        <v>6699.24</v>
      </c>
      <c r="Q17" s="101">
        <v>1325</v>
      </c>
      <c r="R17" s="101">
        <v>3856.75</v>
      </c>
      <c r="S17" s="101">
        <v>354.53</v>
      </c>
      <c r="T17" s="101">
        <v>91.75</v>
      </c>
      <c r="U17" s="101">
        <v>75.75</v>
      </c>
      <c r="V17" s="101">
        <v>97.25</v>
      </c>
      <c r="W17" s="101">
        <v>237.5</v>
      </c>
      <c r="X17" s="101">
        <v>0</v>
      </c>
      <c r="Y17" s="101">
        <v>62.06</v>
      </c>
      <c r="Z17" s="101">
        <v>170.62</v>
      </c>
      <c r="AA17" s="101">
        <v>162.38</v>
      </c>
      <c r="AB17" s="101">
        <v>6433.59</v>
      </c>
      <c r="AC17" s="101">
        <v>265.64999999999998</v>
      </c>
      <c r="AD17" s="101">
        <v>0</v>
      </c>
      <c r="AE17" s="101">
        <v>475</v>
      </c>
      <c r="AF17" s="230"/>
      <c r="AG17" s="101">
        <v>-209.35</v>
      </c>
      <c r="AH17" s="1"/>
      <c r="AI17" s="229"/>
    </row>
    <row r="18" spans="1:35" ht="15" customHeight="1">
      <c r="A18" s="13" t="s">
        <v>217</v>
      </c>
      <c r="B18" s="13">
        <v>2021</v>
      </c>
      <c r="C18" s="13" t="s">
        <v>249</v>
      </c>
      <c r="D18" s="101">
        <v>6137.5</v>
      </c>
      <c r="E18" s="101">
        <v>1750</v>
      </c>
      <c r="F18" s="101">
        <v>2875</v>
      </c>
      <c r="G18" s="101">
        <v>0</v>
      </c>
      <c r="H18" s="101">
        <v>0</v>
      </c>
      <c r="I18" s="101">
        <v>0</v>
      </c>
      <c r="J18" s="101">
        <v>0</v>
      </c>
      <c r="K18" s="101">
        <v>125</v>
      </c>
      <c r="L18" s="101">
        <v>325</v>
      </c>
      <c r="M18" s="101">
        <v>0</v>
      </c>
      <c r="N18" s="101">
        <v>194.37</v>
      </c>
      <c r="O18" s="101">
        <v>0</v>
      </c>
      <c r="P18" s="101">
        <v>11406.87</v>
      </c>
      <c r="Q18" s="101">
        <v>900</v>
      </c>
      <c r="R18" s="101">
        <v>4675</v>
      </c>
      <c r="S18" s="101">
        <v>666.25</v>
      </c>
      <c r="T18" s="101">
        <v>350</v>
      </c>
      <c r="U18" s="101">
        <v>67.12</v>
      </c>
      <c r="V18" s="101">
        <v>0</v>
      </c>
      <c r="W18" s="101">
        <v>0</v>
      </c>
      <c r="X18" s="101">
        <v>250</v>
      </c>
      <c r="Y18" s="101">
        <v>81.66</v>
      </c>
      <c r="Z18" s="101">
        <v>500</v>
      </c>
      <c r="AA18" s="101">
        <v>158.12</v>
      </c>
      <c r="AB18" s="101">
        <v>7648.15</v>
      </c>
      <c r="AC18" s="101">
        <v>3758.72</v>
      </c>
      <c r="AD18" s="101">
        <v>0</v>
      </c>
      <c r="AE18" s="101">
        <v>175</v>
      </c>
      <c r="AF18" s="230"/>
      <c r="AG18" s="101">
        <v>3583.72</v>
      </c>
      <c r="AH18" s="1"/>
      <c r="AI18" s="229"/>
    </row>
    <row r="19" spans="1:35" ht="15" customHeight="1">
      <c r="A19" s="13" t="s">
        <v>218</v>
      </c>
      <c r="B19" s="13">
        <v>2021</v>
      </c>
      <c r="C19" s="13" t="s">
        <v>255</v>
      </c>
      <c r="D19" s="101">
        <v>5953.12</v>
      </c>
      <c r="E19" s="101">
        <v>3000</v>
      </c>
      <c r="F19" s="101">
        <v>2475</v>
      </c>
      <c r="G19" s="101">
        <v>0</v>
      </c>
      <c r="H19" s="101">
        <v>506.25</v>
      </c>
      <c r="I19" s="101">
        <v>0</v>
      </c>
      <c r="J19" s="101">
        <v>0</v>
      </c>
      <c r="K19" s="101">
        <v>156.25</v>
      </c>
      <c r="L19" s="101">
        <v>543.75</v>
      </c>
      <c r="M19" s="101">
        <v>0</v>
      </c>
      <c r="N19" s="101">
        <v>87.5</v>
      </c>
      <c r="O19" s="101">
        <v>137.5</v>
      </c>
      <c r="P19" s="101">
        <v>12859.37</v>
      </c>
      <c r="Q19" s="101">
        <v>2551.25</v>
      </c>
      <c r="R19" s="101">
        <v>4675</v>
      </c>
      <c r="S19" s="101">
        <v>672.5</v>
      </c>
      <c r="T19" s="101">
        <v>324.88</v>
      </c>
      <c r="U19" s="101">
        <v>0</v>
      </c>
      <c r="V19" s="101">
        <v>0</v>
      </c>
      <c r="W19" s="101">
        <v>0</v>
      </c>
      <c r="X19" s="101">
        <v>493.75</v>
      </c>
      <c r="Y19" s="101">
        <v>102.08</v>
      </c>
      <c r="Z19" s="101">
        <v>137.5</v>
      </c>
      <c r="AA19" s="101">
        <v>353.25</v>
      </c>
      <c r="AB19" s="101">
        <v>9310.2099999999991</v>
      </c>
      <c r="AC19" s="101">
        <v>3549.16</v>
      </c>
      <c r="AD19" s="101">
        <v>0</v>
      </c>
      <c r="AE19" s="101">
        <v>3181.25</v>
      </c>
      <c r="AF19" s="232" t="s">
        <v>902</v>
      </c>
      <c r="AG19" s="101">
        <v>367.91</v>
      </c>
      <c r="AH19" s="1"/>
      <c r="AI19" s="229"/>
    </row>
    <row r="20" spans="1:35" ht="15" customHeight="1">
      <c r="A20" s="13" t="s">
        <v>219</v>
      </c>
      <c r="B20" s="13">
        <v>2021</v>
      </c>
      <c r="C20" s="13" t="s">
        <v>256</v>
      </c>
      <c r="D20" s="101">
        <v>5337.5</v>
      </c>
      <c r="E20" s="101">
        <v>2750</v>
      </c>
      <c r="F20" s="101">
        <v>1687.5</v>
      </c>
      <c r="G20" s="101">
        <v>0</v>
      </c>
      <c r="H20" s="101">
        <v>387.5</v>
      </c>
      <c r="I20" s="101">
        <v>0</v>
      </c>
      <c r="J20" s="101">
        <v>0</v>
      </c>
      <c r="K20" s="101">
        <v>62.5</v>
      </c>
      <c r="L20" s="101">
        <v>300</v>
      </c>
      <c r="M20" s="101">
        <v>0</v>
      </c>
      <c r="N20" s="101">
        <v>12.5</v>
      </c>
      <c r="O20" s="101">
        <v>393.75</v>
      </c>
      <c r="P20" s="101">
        <v>10931.25</v>
      </c>
      <c r="Q20" s="101">
        <v>1975</v>
      </c>
      <c r="R20" s="101">
        <v>4675</v>
      </c>
      <c r="S20" s="101">
        <v>452</v>
      </c>
      <c r="T20" s="101">
        <v>392.38</v>
      </c>
      <c r="U20" s="101">
        <v>127.12</v>
      </c>
      <c r="V20" s="101">
        <v>0</v>
      </c>
      <c r="W20" s="101">
        <v>268.75</v>
      </c>
      <c r="X20" s="101">
        <v>181.25</v>
      </c>
      <c r="Y20" s="101">
        <v>40.83</v>
      </c>
      <c r="Z20" s="101">
        <v>0</v>
      </c>
      <c r="AA20" s="101">
        <v>0</v>
      </c>
      <c r="AB20" s="101">
        <v>8112.33</v>
      </c>
      <c r="AC20" s="101">
        <v>2818.92</v>
      </c>
      <c r="AD20" s="101">
        <v>0</v>
      </c>
      <c r="AE20" s="101">
        <v>1750</v>
      </c>
      <c r="AF20" s="232" t="s">
        <v>903</v>
      </c>
      <c r="AG20" s="101">
        <v>1068.92</v>
      </c>
      <c r="AH20" s="1"/>
      <c r="AI20" s="229"/>
    </row>
    <row r="21" spans="1:35" ht="15" customHeight="1">
      <c r="A21" s="13" t="s">
        <v>220</v>
      </c>
      <c r="B21" s="13">
        <v>2021</v>
      </c>
      <c r="C21" s="13" t="s">
        <v>250</v>
      </c>
      <c r="D21" s="101">
        <v>5350</v>
      </c>
      <c r="E21" s="101">
        <v>2000</v>
      </c>
      <c r="F21" s="101">
        <v>900</v>
      </c>
      <c r="G21" s="101">
        <v>0</v>
      </c>
      <c r="H21" s="101">
        <v>381.25</v>
      </c>
      <c r="I21" s="101">
        <v>0</v>
      </c>
      <c r="J21" s="101">
        <v>0</v>
      </c>
      <c r="K21" s="101">
        <v>93.75</v>
      </c>
      <c r="L21" s="101">
        <v>206.25</v>
      </c>
      <c r="M21" s="101">
        <v>0</v>
      </c>
      <c r="N21" s="101">
        <v>0</v>
      </c>
      <c r="O21" s="101">
        <v>370</v>
      </c>
      <c r="P21" s="101">
        <v>9301.25</v>
      </c>
      <c r="Q21" s="101">
        <v>1350</v>
      </c>
      <c r="R21" s="101">
        <v>4675</v>
      </c>
      <c r="S21" s="101">
        <v>432.85</v>
      </c>
      <c r="T21" s="101">
        <v>108.59</v>
      </c>
      <c r="U21" s="101">
        <v>128.25</v>
      </c>
      <c r="V21" s="101">
        <v>0</v>
      </c>
      <c r="W21" s="101">
        <v>0</v>
      </c>
      <c r="X21" s="101">
        <v>100</v>
      </c>
      <c r="Y21" s="101">
        <v>61.25</v>
      </c>
      <c r="Z21" s="101">
        <v>0</v>
      </c>
      <c r="AA21" s="101">
        <v>37.5</v>
      </c>
      <c r="AB21" s="101">
        <v>6893.44</v>
      </c>
      <c r="AC21" s="101">
        <v>2407.81</v>
      </c>
      <c r="AD21" s="101">
        <v>0</v>
      </c>
      <c r="AE21" s="101">
        <v>812.5</v>
      </c>
      <c r="AF21" s="230"/>
      <c r="AG21" s="101">
        <v>1595.31</v>
      </c>
      <c r="AH21" s="1"/>
      <c r="AI21" s="229"/>
    </row>
    <row r="22" spans="1:35" ht="15" customHeight="1">
      <c r="A22" s="13" t="s">
        <v>221</v>
      </c>
      <c r="B22" s="13">
        <v>2021</v>
      </c>
      <c r="C22" s="13" t="s">
        <v>251</v>
      </c>
      <c r="D22" s="101">
        <v>3883.75</v>
      </c>
      <c r="E22" s="101">
        <v>1750</v>
      </c>
      <c r="F22" s="101">
        <v>1175</v>
      </c>
      <c r="G22" s="101">
        <v>0</v>
      </c>
      <c r="H22" s="101">
        <v>87.5</v>
      </c>
      <c r="I22" s="101">
        <v>0</v>
      </c>
      <c r="J22" s="101">
        <v>0</v>
      </c>
      <c r="K22" s="101">
        <v>31.25</v>
      </c>
      <c r="L22" s="101">
        <v>100</v>
      </c>
      <c r="M22" s="101">
        <v>0</v>
      </c>
      <c r="N22" s="101">
        <v>0</v>
      </c>
      <c r="O22" s="101">
        <v>0</v>
      </c>
      <c r="P22" s="101">
        <v>7027.5</v>
      </c>
      <c r="Q22" s="101">
        <v>950</v>
      </c>
      <c r="R22" s="101">
        <v>4675</v>
      </c>
      <c r="S22" s="101">
        <v>429.25</v>
      </c>
      <c r="T22" s="101">
        <v>291.88</v>
      </c>
      <c r="U22" s="101">
        <v>103.88</v>
      </c>
      <c r="V22" s="101">
        <v>0</v>
      </c>
      <c r="W22" s="101">
        <v>0</v>
      </c>
      <c r="X22" s="101">
        <v>50</v>
      </c>
      <c r="Y22" s="101">
        <v>20.420000000000002</v>
      </c>
      <c r="Z22" s="101">
        <v>0</v>
      </c>
      <c r="AA22" s="101">
        <v>18.75</v>
      </c>
      <c r="AB22" s="101">
        <v>6539.18</v>
      </c>
      <c r="AC22" s="101">
        <v>488.32</v>
      </c>
      <c r="AD22" s="101">
        <v>0</v>
      </c>
      <c r="AE22" s="101">
        <v>375</v>
      </c>
      <c r="AF22" s="230"/>
      <c r="AG22" s="101">
        <v>113.32</v>
      </c>
      <c r="AH22" s="1"/>
      <c r="AI22" s="229"/>
    </row>
    <row r="23" spans="1:35" ht="15" customHeight="1">
      <c r="A23" s="13" t="s">
        <v>222</v>
      </c>
      <c r="B23" s="13">
        <v>2021</v>
      </c>
      <c r="C23" s="13" t="s">
        <v>252</v>
      </c>
      <c r="D23" s="101">
        <v>4875</v>
      </c>
      <c r="E23" s="101">
        <v>2000</v>
      </c>
      <c r="F23" s="101">
        <v>925</v>
      </c>
      <c r="G23" s="101">
        <v>0</v>
      </c>
      <c r="H23" s="101">
        <v>0</v>
      </c>
      <c r="I23" s="101">
        <v>0</v>
      </c>
      <c r="J23" s="101">
        <v>0</v>
      </c>
      <c r="K23" s="101">
        <v>0</v>
      </c>
      <c r="L23" s="101">
        <v>0</v>
      </c>
      <c r="M23" s="101">
        <v>0</v>
      </c>
      <c r="N23" s="101">
        <v>0</v>
      </c>
      <c r="O23" s="101">
        <v>0</v>
      </c>
      <c r="P23" s="101">
        <v>7800</v>
      </c>
      <c r="Q23" s="101">
        <v>1550</v>
      </c>
      <c r="R23" s="101">
        <v>4675</v>
      </c>
      <c r="S23" s="101">
        <v>854.62</v>
      </c>
      <c r="T23" s="101">
        <v>375</v>
      </c>
      <c r="U23" s="101">
        <v>69</v>
      </c>
      <c r="V23" s="101">
        <v>0</v>
      </c>
      <c r="W23" s="101">
        <v>0</v>
      </c>
      <c r="X23" s="101">
        <v>0</v>
      </c>
      <c r="Y23" s="101">
        <v>0</v>
      </c>
      <c r="Z23" s="101">
        <v>0</v>
      </c>
      <c r="AA23" s="101">
        <v>0</v>
      </c>
      <c r="AB23" s="101">
        <v>7523.62</v>
      </c>
      <c r="AC23" s="101">
        <v>276.38</v>
      </c>
      <c r="AD23" s="101">
        <v>0</v>
      </c>
      <c r="AE23" s="101">
        <v>0</v>
      </c>
      <c r="AF23" s="230"/>
      <c r="AG23" s="101">
        <v>276.38</v>
      </c>
      <c r="AH23" s="1"/>
      <c r="AI23" s="229"/>
    </row>
    <row r="24" spans="1:35" ht="15" customHeight="1">
      <c r="A24" s="13" t="s">
        <v>223</v>
      </c>
      <c r="B24" s="13">
        <v>2021</v>
      </c>
      <c r="C24" s="13" t="s">
        <v>253</v>
      </c>
      <c r="D24" s="101">
        <v>6662.5</v>
      </c>
      <c r="E24" s="101">
        <v>3375</v>
      </c>
      <c r="F24" s="101">
        <v>825</v>
      </c>
      <c r="G24" s="101">
        <v>0</v>
      </c>
      <c r="H24" s="101">
        <v>218.75</v>
      </c>
      <c r="I24" s="101">
        <v>0</v>
      </c>
      <c r="J24" s="101">
        <v>0</v>
      </c>
      <c r="K24" s="101">
        <v>62.5</v>
      </c>
      <c r="L24" s="101">
        <v>106.25</v>
      </c>
      <c r="M24" s="101">
        <v>0</v>
      </c>
      <c r="N24" s="101">
        <v>0</v>
      </c>
      <c r="O24" s="101">
        <v>0</v>
      </c>
      <c r="P24" s="101">
        <v>11250</v>
      </c>
      <c r="Q24" s="101">
        <v>2412.5</v>
      </c>
      <c r="R24" s="101">
        <v>4675</v>
      </c>
      <c r="S24" s="101">
        <v>329.72</v>
      </c>
      <c r="T24" s="101">
        <v>200.62</v>
      </c>
      <c r="U24" s="101">
        <v>94.12</v>
      </c>
      <c r="V24" s="101">
        <v>0</v>
      </c>
      <c r="W24" s="101">
        <v>0</v>
      </c>
      <c r="X24" s="101">
        <v>0</v>
      </c>
      <c r="Y24" s="101">
        <v>40.83</v>
      </c>
      <c r="Z24" s="101">
        <v>0</v>
      </c>
      <c r="AA24" s="101">
        <v>575</v>
      </c>
      <c r="AB24" s="101">
        <v>8327.7900000000009</v>
      </c>
      <c r="AC24" s="101">
        <v>2922.21</v>
      </c>
      <c r="AD24" s="101">
        <v>0</v>
      </c>
      <c r="AE24" s="101">
        <v>1000</v>
      </c>
      <c r="AF24" s="232" t="s">
        <v>904</v>
      </c>
      <c r="AG24" s="101">
        <v>1922.21</v>
      </c>
      <c r="AH24" s="1"/>
      <c r="AI24" s="229"/>
    </row>
    <row r="25" spans="1:35" ht="15" customHeight="1">
      <c r="A25" s="13" t="s">
        <v>224</v>
      </c>
      <c r="B25" s="13">
        <v>2021</v>
      </c>
      <c r="C25" s="13" t="s">
        <v>254</v>
      </c>
      <c r="D25" s="101">
        <v>5768.75</v>
      </c>
      <c r="E25" s="101">
        <v>3437.5</v>
      </c>
      <c r="F25" s="101">
        <v>1000</v>
      </c>
      <c r="G25" s="101">
        <v>0</v>
      </c>
      <c r="H25" s="101">
        <v>468.75</v>
      </c>
      <c r="I25" s="101">
        <v>0</v>
      </c>
      <c r="J25" s="101">
        <v>0</v>
      </c>
      <c r="K25" s="101">
        <v>75</v>
      </c>
      <c r="L25" s="101">
        <v>212.5</v>
      </c>
      <c r="M25" s="101">
        <v>0</v>
      </c>
      <c r="N25" s="101">
        <v>0</v>
      </c>
      <c r="O25" s="101">
        <v>0</v>
      </c>
      <c r="P25" s="101">
        <v>10962.5</v>
      </c>
      <c r="Q25" s="101">
        <v>2625</v>
      </c>
      <c r="R25" s="101">
        <v>4675</v>
      </c>
      <c r="S25" s="101">
        <v>314.85000000000002</v>
      </c>
      <c r="T25" s="101">
        <v>430.65</v>
      </c>
      <c r="U25" s="101">
        <v>132.12</v>
      </c>
      <c r="V25" s="101">
        <v>0</v>
      </c>
      <c r="W25" s="101">
        <v>0</v>
      </c>
      <c r="X25" s="101">
        <v>150</v>
      </c>
      <c r="Y25" s="101">
        <v>49</v>
      </c>
      <c r="Z25" s="101">
        <v>62.5</v>
      </c>
      <c r="AA25" s="101">
        <v>125</v>
      </c>
      <c r="AB25" s="101">
        <v>8564.1200000000008</v>
      </c>
      <c r="AC25" s="101">
        <v>2398.38</v>
      </c>
      <c r="AD25" s="101">
        <v>0</v>
      </c>
      <c r="AE25" s="101">
        <v>2750</v>
      </c>
      <c r="AF25" s="230"/>
      <c r="AG25" s="101">
        <v>-351.62</v>
      </c>
      <c r="AH25" s="1"/>
      <c r="AI25" s="229"/>
    </row>
    <row r="26" spans="1:35" ht="15" customHeight="1">
      <c r="A26" s="13" t="s">
        <v>225</v>
      </c>
      <c r="B26" s="13">
        <v>2021</v>
      </c>
      <c r="C26" s="13" t="s">
        <v>245</v>
      </c>
      <c r="D26" s="101">
        <v>5981.25</v>
      </c>
      <c r="E26" s="101">
        <v>3437.5</v>
      </c>
      <c r="F26" s="101">
        <v>1337.5</v>
      </c>
      <c r="G26" s="101">
        <v>0</v>
      </c>
      <c r="H26" s="101">
        <v>1931.25</v>
      </c>
      <c r="I26" s="101">
        <v>0</v>
      </c>
      <c r="J26" s="101">
        <v>0</v>
      </c>
      <c r="K26" s="101">
        <v>37.5</v>
      </c>
      <c r="L26" s="101">
        <v>0</v>
      </c>
      <c r="M26" s="101">
        <v>0</v>
      </c>
      <c r="N26" s="101">
        <v>0</v>
      </c>
      <c r="O26" s="101">
        <v>0</v>
      </c>
      <c r="P26" s="101">
        <v>12725</v>
      </c>
      <c r="Q26" s="101">
        <v>750</v>
      </c>
      <c r="R26" s="101">
        <v>4675</v>
      </c>
      <c r="S26" s="101">
        <v>400</v>
      </c>
      <c r="T26" s="101">
        <v>137.5</v>
      </c>
      <c r="U26" s="101">
        <v>98.38</v>
      </c>
      <c r="V26" s="101">
        <v>0</v>
      </c>
      <c r="W26" s="101">
        <v>0</v>
      </c>
      <c r="X26" s="101">
        <v>0</v>
      </c>
      <c r="Y26" s="101">
        <v>24.5</v>
      </c>
      <c r="Z26" s="101">
        <v>0</v>
      </c>
      <c r="AA26" s="101">
        <v>302.99</v>
      </c>
      <c r="AB26" s="101">
        <v>6388.37</v>
      </c>
      <c r="AC26" s="101">
        <v>6336.63</v>
      </c>
      <c r="AD26" s="101">
        <v>0</v>
      </c>
      <c r="AE26" s="101">
        <v>2312.5</v>
      </c>
      <c r="AF26" s="232" t="s">
        <v>905</v>
      </c>
      <c r="AG26" s="101">
        <v>4024.13</v>
      </c>
      <c r="AH26" s="1"/>
      <c r="AI26" s="229"/>
    </row>
    <row r="27" spans="1:35" ht="15" customHeight="1">
      <c r="A27" s="13" t="s">
        <v>226</v>
      </c>
      <c r="B27" s="13">
        <v>2021</v>
      </c>
      <c r="C27" s="13" t="s">
        <v>246</v>
      </c>
      <c r="D27" s="101">
        <v>5987.5</v>
      </c>
      <c r="E27" s="101">
        <v>3593.75</v>
      </c>
      <c r="F27" s="101">
        <v>593.75</v>
      </c>
      <c r="G27" s="101">
        <v>0</v>
      </c>
      <c r="H27" s="101">
        <v>1847.87</v>
      </c>
      <c r="I27" s="101">
        <v>0</v>
      </c>
      <c r="J27" s="101">
        <v>0</v>
      </c>
      <c r="K27" s="101">
        <v>187.5</v>
      </c>
      <c r="L27" s="101">
        <v>275</v>
      </c>
      <c r="M27" s="101">
        <v>0</v>
      </c>
      <c r="N27" s="101">
        <v>537.5</v>
      </c>
      <c r="O27" s="101">
        <v>275</v>
      </c>
      <c r="P27" s="101">
        <v>13297.87</v>
      </c>
      <c r="Q27" s="101">
        <v>2546.88</v>
      </c>
      <c r="R27" s="101">
        <v>4687.5</v>
      </c>
      <c r="S27" s="101">
        <v>635.12</v>
      </c>
      <c r="T27" s="101">
        <v>210</v>
      </c>
      <c r="U27" s="101">
        <v>149.62</v>
      </c>
      <c r="V27" s="101">
        <v>0</v>
      </c>
      <c r="W27" s="101">
        <v>0</v>
      </c>
      <c r="X27" s="101">
        <v>50</v>
      </c>
      <c r="Y27" s="101">
        <v>122.49</v>
      </c>
      <c r="Z27" s="101">
        <v>47.12</v>
      </c>
      <c r="AA27" s="101">
        <v>696.63</v>
      </c>
      <c r="AB27" s="101">
        <v>9145.36</v>
      </c>
      <c r="AC27" s="101">
        <v>4152.51</v>
      </c>
      <c r="AD27" s="101">
        <v>0</v>
      </c>
      <c r="AE27" s="101">
        <v>6525</v>
      </c>
      <c r="AF27" s="233" t="s">
        <v>906</v>
      </c>
      <c r="AG27" s="101">
        <v>-2372.4899999999998</v>
      </c>
      <c r="AH27" s="1"/>
      <c r="AI27" s="231"/>
    </row>
    <row r="28" spans="1:35" ht="15" customHeight="1">
      <c r="A28" s="13" t="s">
        <v>227</v>
      </c>
      <c r="B28" s="13">
        <v>2022</v>
      </c>
      <c r="C28" s="13" t="s">
        <v>247</v>
      </c>
      <c r="D28" s="101">
        <v>6123.75</v>
      </c>
      <c r="E28" s="101">
        <v>3125</v>
      </c>
      <c r="F28" s="101">
        <v>1968.75</v>
      </c>
      <c r="G28" s="101">
        <v>0</v>
      </c>
      <c r="H28" s="101">
        <v>2625</v>
      </c>
      <c r="I28" s="101">
        <v>193.75</v>
      </c>
      <c r="J28" s="101">
        <v>0</v>
      </c>
      <c r="K28" s="101">
        <v>0</v>
      </c>
      <c r="L28" s="101">
        <v>0</v>
      </c>
      <c r="M28" s="101">
        <v>0</v>
      </c>
      <c r="N28" s="101">
        <v>0</v>
      </c>
      <c r="O28" s="101">
        <v>31.25</v>
      </c>
      <c r="P28" s="101">
        <v>14067.5</v>
      </c>
      <c r="Q28" s="101">
        <v>750</v>
      </c>
      <c r="R28" s="101">
        <v>4650</v>
      </c>
      <c r="S28" s="101">
        <v>588.12</v>
      </c>
      <c r="T28" s="101">
        <v>273.75</v>
      </c>
      <c r="U28" s="101">
        <v>151.75</v>
      </c>
      <c r="V28" s="101">
        <v>0</v>
      </c>
      <c r="W28" s="101">
        <v>0</v>
      </c>
      <c r="X28" s="101">
        <v>0</v>
      </c>
      <c r="Y28" s="101">
        <v>0</v>
      </c>
      <c r="Z28" s="101">
        <v>0</v>
      </c>
      <c r="AA28" s="101">
        <v>44.38</v>
      </c>
      <c r="AB28" s="101">
        <v>6458</v>
      </c>
      <c r="AC28" s="101">
        <v>7609.5</v>
      </c>
      <c r="AD28" s="101">
        <v>0</v>
      </c>
      <c r="AE28" s="101">
        <v>6100</v>
      </c>
      <c r="AF28" s="232" t="s">
        <v>907</v>
      </c>
      <c r="AG28" s="101">
        <v>1509.5</v>
      </c>
      <c r="AH28" s="1"/>
      <c r="AI28" s="231"/>
    </row>
    <row r="29" spans="1:35" ht="15" customHeight="1">
      <c r="A29" s="13" t="s">
        <v>228</v>
      </c>
      <c r="B29" s="13">
        <v>2022</v>
      </c>
      <c r="C29" s="13" t="s">
        <v>248</v>
      </c>
      <c r="D29" s="101">
        <v>5154.25</v>
      </c>
      <c r="E29" s="101">
        <v>3983.75</v>
      </c>
      <c r="F29" s="101">
        <v>1500</v>
      </c>
      <c r="G29" s="101">
        <v>0</v>
      </c>
      <c r="H29" s="101">
        <v>2318.75</v>
      </c>
      <c r="I29" s="101">
        <v>0</v>
      </c>
      <c r="J29" s="101">
        <v>0</v>
      </c>
      <c r="K29" s="101">
        <v>0</v>
      </c>
      <c r="L29" s="101">
        <v>212.5</v>
      </c>
      <c r="M29" s="101">
        <v>0</v>
      </c>
      <c r="N29" s="101">
        <v>267.63</v>
      </c>
      <c r="O29" s="101">
        <v>0</v>
      </c>
      <c r="P29" s="101">
        <v>13436.88</v>
      </c>
      <c r="Q29" s="101">
        <v>2625</v>
      </c>
      <c r="R29" s="101">
        <v>4650</v>
      </c>
      <c r="S29" s="101">
        <v>905.57</v>
      </c>
      <c r="T29" s="101">
        <v>42</v>
      </c>
      <c r="U29" s="101">
        <v>134.62</v>
      </c>
      <c r="V29" s="101">
        <v>100</v>
      </c>
      <c r="W29" s="101">
        <v>0</v>
      </c>
      <c r="X29" s="101">
        <v>150</v>
      </c>
      <c r="Y29" s="101">
        <v>0</v>
      </c>
      <c r="Z29" s="101">
        <v>31.88</v>
      </c>
      <c r="AA29" s="101">
        <v>515.51</v>
      </c>
      <c r="AB29" s="101">
        <v>9154.58</v>
      </c>
      <c r="AC29" s="101">
        <v>4282.3</v>
      </c>
      <c r="AD29" s="101">
        <v>0</v>
      </c>
      <c r="AE29" s="101">
        <v>4490.5</v>
      </c>
      <c r="AF29" s="230"/>
      <c r="AG29" s="101">
        <v>-208.2</v>
      </c>
      <c r="AH29" s="1"/>
      <c r="AI29" s="231"/>
    </row>
    <row r="30" spans="1:35" ht="15" customHeight="1">
      <c r="A30" s="13" t="s">
        <v>229</v>
      </c>
      <c r="B30" s="13">
        <v>2022</v>
      </c>
      <c r="C30" s="13" t="s">
        <v>249</v>
      </c>
      <c r="D30" s="101">
        <v>6437.5</v>
      </c>
      <c r="E30" s="101">
        <v>3281.25</v>
      </c>
      <c r="F30" s="101">
        <v>1500</v>
      </c>
      <c r="G30" s="101">
        <v>0</v>
      </c>
      <c r="H30" s="101">
        <v>3381.25</v>
      </c>
      <c r="I30" s="101">
        <v>0</v>
      </c>
      <c r="J30" s="101">
        <v>0</v>
      </c>
      <c r="K30" s="101">
        <v>81.25</v>
      </c>
      <c r="L30" s="101">
        <v>106.25</v>
      </c>
      <c r="M30" s="101">
        <v>0</v>
      </c>
      <c r="N30" s="101">
        <v>120</v>
      </c>
      <c r="O30" s="101">
        <v>18.75</v>
      </c>
      <c r="P30" s="101">
        <v>14926.25</v>
      </c>
      <c r="Q30" s="101">
        <v>2390.62</v>
      </c>
      <c r="R30" s="101">
        <v>4882.5</v>
      </c>
      <c r="S30" s="101">
        <v>738.81</v>
      </c>
      <c r="T30" s="101">
        <v>0</v>
      </c>
      <c r="U30" s="101">
        <v>103.38</v>
      </c>
      <c r="V30" s="101">
        <v>0</v>
      </c>
      <c r="W30" s="101">
        <v>0</v>
      </c>
      <c r="X30" s="101">
        <v>100</v>
      </c>
      <c r="Y30" s="101">
        <v>53.08</v>
      </c>
      <c r="Z30" s="101">
        <v>0</v>
      </c>
      <c r="AA30" s="101">
        <v>228.06</v>
      </c>
      <c r="AB30" s="101">
        <v>8496.4500000000007</v>
      </c>
      <c r="AC30" s="101">
        <v>6429.8</v>
      </c>
      <c r="AD30" s="101">
        <v>0</v>
      </c>
      <c r="AE30" s="101">
        <v>4750</v>
      </c>
      <c r="AF30" s="230"/>
      <c r="AG30" s="101">
        <v>1679.8</v>
      </c>
      <c r="AH30" s="1"/>
      <c r="AI30" s="229"/>
    </row>
    <row r="31" spans="1:35" ht="15" customHeight="1">
      <c r="A31" s="13" t="s">
        <v>230</v>
      </c>
      <c r="B31" s="13">
        <v>2022</v>
      </c>
      <c r="C31" s="13" t="s">
        <v>255</v>
      </c>
      <c r="D31" s="101">
        <v>5050</v>
      </c>
      <c r="E31" s="101">
        <v>3875</v>
      </c>
      <c r="F31" s="101">
        <v>937.5</v>
      </c>
      <c r="G31" s="101">
        <v>0</v>
      </c>
      <c r="H31" s="101">
        <v>3518.75</v>
      </c>
      <c r="I31" s="101">
        <v>0</v>
      </c>
      <c r="J31" s="101">
        <v>0</v>
      </c>
      <c r="K31" s="101">
        <v>37.5</v>
      </c>
      <c r="L31" s="101">
        <v>106.25</v>
      </c>
      <c r="M31" s="101">
        <v>0</v>
      </c>
      <c r="N31" s="101">
        <v>92.5</v>
      </c>
      <c r="O31" s="101">
        <v>18.75</v>
      </c>
      <c r="P31" s="101">
        <v>13636.25</v>
      </c>
      <c r="Q31" s="101">
        <v>2703.12</v>
      </c>
      <c r="R31" s="101">
        <v>4882.5</v>
      </c>
      <c r="S31" s="101">
        <v>744.62</v>
      </c>
      <c r="T31" s="101">
        <v>625</v>
      </c>
      <c r="U31" s="101">
        <v>165.75</v>
      </c>
      <c r="V31" s="101">
        <v>0</v>
      </c>
      <c r="W31" s="101">
        <v>0</v>
      </c>
      <c r="X31" s="101">
        <v>0</v>
      </c>
      <c r="Y31" s="101">
        <v>24.5</v>
      </c>
      <c r="Z31" s="101">
        <v>0</v>
      </c>
      <c r="AA31" s="101">
        <v>180.62</v>
      </c>
      <c r="AB31" s="101">
        <v>9326.11</v>
      </c>
      <c r="AC31" s="101">
        <v>4310.1400000000003</v>
      </c>
      <c r="AD31" s="101">
        <v>0</v>
      </c>
      <c r="AE31" s="101">
        <v>0</v>
      </c>
      <c r="AF31" s="230"/>
      <c r="AG31" s="101">
        <v>4310.1400000000003</v>
      </c>
      <c r="AH31" s="1"/>
      <c r="AI31" s="231"/>
    </row>
    <row r="32" spans="1:35" ht="15" customHeight="1">
      <c r="A32" s="13" t="s">
        <v>231</v>
      </c>
      <c r="B32" s="13">
        <v>2022</v>
      </c>
      <c r="C32" s="13" t="s">
        <v>256</v>
      </c>
      <c r="D32" s="101">
        <v>6531.25</v>
      </c>
      <c r="E32" s="101">
        <v>3437.5</v>
      </c>
      <c r="F32" s="101">
        <v>1000</v>
      </c>
      <c r="G32" s="101">
        <v>0</v>
      </c>
      <c r="H32" s="101">
        <v>2087.5</v>
      </c>
      <c r="I32" s="101">
        <v>0</v>
      </c>
      <c r="J32" s="101">
        <v>0</v>
      </c>
      <c r="K32" s="101">
        <v>0</v>
      </c>
      <c r="L32" s="101">
        <v>0</v>
      </c>
      <c r="M32" s="101">
        <v>0</v>
      </c>
      <c r="N32" s="101">
        <v>46.25</v>
      </c>
      <c r="O32" s="101">
        <v>56.25</v>
      </c>
      <c r="P32" s="101">
        <v>13158.75</v>
      </c>
      <c r="Q32" s="101">
        <v>2468.75</v>
      </c>
      <c r="R32" s="101">
        <v>4882.5</v>
      </c>
      <c r="S32" s="101">
        <v>482.52</v>
      </c>
      <c r="T32" s="101">
        <v>62.5</v>
      </c>
      <c r="U32" s="101">
        <v>128.06</v>
      </c>
      <c r="V32" s="101">
        <v>0</v>
      </c>
      <c r="W32" s="101">
        <v>0</v>
      </c>
      <c r="X32" s="101">
        <v>50</v>
      </c>
      <c r="Y32" s="101">
        <v>0</v>
      </c>
      <c r="Z32" s="101">
        <v>0</v>
      </c>
      <c r="AA32" s="101">
        <v>106.25</v>
      </c>
      <c r="AB32" s="101">
        <v>8180.58</v>
      </c>
      <c r="AC32" s="101">
        <v>4978.17</v>
      </c>
      <c r="AD32" s="101">
        <v>0</v>
      </c>
      <c r="AE32" s="101">
        <v>4750</v>
      </c>
      <c r="AF32" s="230"/>
      <c r="AG32" s="101">
        <v>228.17</v>
      </c>
      <c r="AH32" s="1"/>
      <c r="AI32" s="1"/>
    </row>
    <row r="33" spans="1:33" ht="15" customHeight="1">
      <c r="A33" s="13" t="s">
        <v>232</v>
      </c>
      <c r="B33" s="13">
        <v>2022</v>
      </c>
      <c r="C33" s="13" t="s">
        <v>250</v>
      </c>
      <c r="D33" s="101">
        <v>3972.5</v>
      </c>
      <c r="E33" s="101">
        <v>2560</v>
      </c>
      <c r="F33" s="101">
        <v>406.25</v>
      </c>
      <c r="G33" s="101">
        <v>0</v>
      </c>
      <c r="H33" s="101">
        <v>356.25</v>
      </c>
      <c r="I33" s="101">
        <v>0</v>
      </c>
      <c r="J33" s="101">
        <v>0</v>
      </c>
      <c r="K33" s="101">
        <v>37.5</v>
      </c>
      <c r="L33" s="101">
        <v>0</v>
      </c>
      <c r="M33" s="101">
        <v>0</v>
      </c>
      <c r="N33" s="101">
        <v>86.25</v>
      </c>
      <c r="O33" s="101">
        <v>0</v>
      </c>
      <c r="P33" s="101">
        <v>7418.75</v>
      </c>
      <c r="Q33" s="101">
        <v>2030</v>
      </c>
      <c r="R33" s="101">
        <v>2441.25</v>
      </c>
      <c r="S33" s="101">
        <v>335.8</v>
      </c>
      <c r="T33" s="101">
        <v>0</v>
      </c>
      <c r="U33" s="101">
        <v>139.5</v>
      </c>
      <c r="V33" s="101">
        <v>0</v>
      </c>
      <c r="W33" s="101">
        <v>0</v>
      </c>
      <c r="X33" s="101">
        <v>0</v>
      </c>
      <c r="Y33" s="101">
        <v>24.5</v>
      </c>
      <c r="Z33" s="101">
        <v>0</v>
      </c>
      <c r="AA33" s="101">
        <v>881.25</v>
      </c>
      <c r="AB33" s="101">
        <v>5852.3</v>
      </c>
      <c r="AC33" s="101">
        <v>1566.45</v>
      </c>
      <c r="AD33" s="101">
        <v>0</v>
      </c>
      <c r="AE33" s="101">
        <v>1250</v>
      </c>
      <c r="AF33" s="232" t="s">
        <v>908</v>
      </c>
      <c r="AG33" s="101">
        <v>316.45</v>
      </c>
    </row>
    <row r="34" spans="1:33" ht="15" customHeight="1">
      <c r="A34" s="13" t="s">
        <v>233</v>
      </c>
      <c r="B34" s="13">
        <v>2022</v>
      </c>
      <c r="C34" s="13" t="s">
        <v>251</v>
      </c>
      <c r="D34" s="101">
        <v>3312.5</v>
      </c>
      <c r="E34" s="101">
        <v>625</v>
      </c>
      <c r="F34" s="101">
        <v>0</v>
      </c>
      <c r="G34" s="101">
        <v>0</v>
      </c>
      <c r="H34" s="101">
        <v>50</v>
      </c>
      <c r="I34" s="101">
        <v>0</v>
      </c>
      <c r="J34" s="101">
        <v>0</v>
      </c>
      <c r="K34" s="101">
        <v>0</v>
      </c>
      <c r="L34" s="101">
        <v>0</v>
      </c>
      <c r="M34" s="101">
        <v>0</v>
      </c>
      <c r="N34" s="101">
        <v>0</v>
      </c>
      <c r="O34" s="101">
        <v>0</v>
      </c>
      <c r="P34" s="101">
        <v>3987.5</v>
      </c>
      <c r="Q34" s="101">
        <v>0</v>
      </c>
      <c r="R34" s="101">
        <v>2441.25</v>
      </c>
      <c r="S34" s="101">
        <v>379.37</v>
      </c>
      <c r="T34" s="101">
        <v>0</v>
      </c>
      <c r="U34" s="101">
        <v>85.28</v>
      </c>
      <c r="V34" s="101">
        <v>0</v>
      </c>
      <c r="W34" s="101">
        <v>0</v>
      </c>
      <c r="X34" s="101">
        <v>0</v>
      </c>
      <c r="Y34" s="101">
        <v>0</v>
      </c>
      <c r="Z34" s="101">
        <v>0</v>
      </c>
      <c r="AA34" s="101">
        <v>0</v>
      </c>
      <c r="AB34" s="101">
        <v>2905.9</v>
      </c>
      <c r="AC34" s="101">
        <v>1081.5999999999999</v>
      </c>
      <c r="AD34" s="101">
        <v>0</v>
      </c>
      <c r="AE34" s="101">
        <v>0</v>
      </c>
      <c r="AF34" s="230"/>
      <c r="AG34" s="101">
        <v>1081.5999999999999</v>
      </c>
    </row>
  </sheetData>
  <mergeCells count="2">
    <mergeCell ref="A1:AG1"/>
    <mergeCell ref="A2:AG2"/>
  </mergeCell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7</cp:revision>
  <dcterms:created xsi:type="dcterms:W3CDTF">2026-06-29T18:31:59Z</dcterms:created>
  <dcterms:modified xsi:type="dcterms:W3CDTF">2026-07-22T02:20:55Z</dcterms:modified>
  <cp:category/>
  <cp:contentStatus/>
</cp:coreProperties>
</file>
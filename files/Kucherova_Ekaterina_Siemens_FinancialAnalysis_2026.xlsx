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3EFAD93D-1A13-4576-B79E-C4857620D5ED}" xr6:coauthVersionLast="47" xr6:coauthVersionMax="47" xr10:uidLastSave="{00000000-0000-0000-0000-000000000000}"/>
  <bookViews>
    <workbookView xWindow="240" yWindow="105" windowWidth="14805" windowHeight="8010" firstSheet="4" activeTab="3" xr2:uid="{00000000-000D-0000-FFFF-FFFF00000000}"/>
  </bookViews>
  <sheets>
    <sheet name="README" sheetId="7" r:id="rId1"/>
    <sheet name="Data" sheetId="1" r:id="rId2"/>
    <sheet name="ANALYSIS" sheetId="2" r:id="rId3"/>
    <sheet name="FORECAST" sheetId="3" r:id="rId4"/>
    <sheet name="DASHBOARD" sheetId="4" r:id="rId5"/>
    <sheet name="SOURCES" sheetId="5" r:id="rId6"/>
    <sheet name="TOOLS" sheetId="6" r:id="rId7"/>
  </sheets>
  <definedNames>
    <definedName name="_xlchart.v1.0" hidden="1">DASHBOARD!$D$11</definedName>
    <definedName name="_xlchart.v1.1" hidden="1">DASHBOARD!$D$12:$D$17</definedName>
    <definedName name="_xlchart.v1.2" hidden="1">DASHBOARD!B12:B17</definedName>
    <definedName name="LaborPct">ANALYSIS!$B$27:$B$27</definedName>
    <definedName name="MaterialPct">ANALYSIS!$B$28:$B$28</definedName>
    <definedName name="MobilityData">Data!$B$5:$C$16</definedName>
    <definedName name="OverheadPct">ANALYSIS!$B$29:$B$29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6" l="1"/>
  <c r="D18" i="2"/>
  <c r="E52" i="2"/>
  <c r="E53" i="2"/>
  <c r="D17" i="2"/>
  <c r="H49" i="4"/>
  <c r="D16" i="2"/>
  <c r="A24" i="6"/>
  <c r="A22" i="6"/>
  <c r="D5" i="6"/>
  <c r="D6" i="6"/>
  <c r="D7" i="6"/>
  <c r="D8" i="6"/>
  <c r="D9" i="6"/>
  <c r="D10" i="6"/>
  <c r="D11" i="6"/>
  <c r="D12" i="6"/>
  <c r="D13" i="6"/>
  <c r="D14" i="6"/>
  <c r="D15" i="6"/>
  <c r="D4" i="6"/>
  <c r="C5" i="6"/>
  <c r="C6" i="6"/>
  <c r="C7" i="6"/>
  <c r="C8" i="6"/>
  <c r="C9" i="6"/>
  <c r="C10" i="6"/>
  <c r="C11" i="6"/>
  <c r="C12" i="6"/>
  <c r="C13" i="6"/>
  <c r="C14" i="6"/>
  <c r="C15" i="6"/>
  <c r="C4" i="6"/>
  <c r="C20" i="2"/>
  <c r="H50" i="4"/>
  <c r="H48" i="4"/>
  <c r="F5" i="4"/>
  <c r="H5" i="4"/>
  <c r="F53" i="4"/>
  <c r="F52" i="4"/>
  <c r="F51" i="4"/>
  <c r="F50" i="4"/>
  <c r="F49" i="4"/>
  <c r="F48" i="4"/>
  <c r="F47" i="4"/>
  <c r="H51" i="4"/>
  <c r="D22" i="4"/>
  <c r="D23" i="4"/>
  <c r="D24" i="4"/>
  <c r="D25" i="4"/>
  <c r="D26" i="4"/>
  <c r="D27" i="4"/>
  <c r="D28" i="4"/>
  <c r="D29" i="4"/>
  <c r="D30" i="4"/>
  <c r="D31" i="4"/>
  <c r="D32" i="4"/>
  <c r="C22" i="4"/>
  <c r="C23" i="4"/>
  <c r="C24" i="4"/>
  <c r="C25" i="4"/>
  <c r="C26" i="4"/>
  <c r="C27" i="4"/>
  <c r="C28" i="4"/>
  <c r="C29" i="4"/>
  <c r="C30" i="4"/>
  <c r="C31" i="4"/>
  <c r="C32" i="4"/>
  <c r="B22" i="4"/>
  <c r="B23" i="4"/>
  <c r="B24" i="4"/>
  <c r="B25" i="4"/>
  <c r="B26" i="4"/>
  <c r="B27" i="4"/>
  <c r="B28" i="4"/>
  <c r="B29" i="4"/>
  <c r="B30" i="4"/>
  <c r="B31" i="4"/>
  <c r="B32" i="4"/>
  <c r="D21" i="4"/>
  <c r="C21" i="4"/>
  <c r="B21" i="4"/>
  <c r="B5" i="4"/>
  <c r="D5" i="4"/>
  <c r="D17" i="4"/>
  <c r="D16" i="4"/>
  <c r="D15" i="4"/>
  <c r="D14" i="4"/>
  <c r="D13" i="4"/>
  <c r="D12" i="4"/>
  <c r="F7" i="4"/>
  <c r="D7" i="4"/>
  <c r="B50" i="3"/>
  <c r="B29" i="3"/>
  <c r="B9" i="3"/>
  <c r="B7" i="3"/>
  <c r="B6" i="3"/>
  <c r="B8" i="3" s="1"/>
  <c r="B12" i="3" s="1"/>
  <c r="B5" i="3"/>
  <c r="C34" i="2"/>
  <c r="C33" i="2"/>
  <c r="C35" i="2" s="1"/>
  <c r="B30" i="2"/>
  <c r="C16" i="2"/>
  <c r="C17" i="2"/>
  <c r="C18" i="2"/>
  <c r="C19" i="2"/>
  <c r="D20" i="2"/>
  <c r="D19" i="2"/>
  <c r="C8" i="2"/>
  <c r="C7" i="2"/>
  <c r="C6" i="2"/>
  <c r="C12" i="2"/>
  <c r="C5" i="2"/>
  <c r="C21" i="1"/>
  <c r="C24" i="1"/>
  <c r="C23" i="1"/>
  <c r="C22" i="1"/>
  <c r="B22" i="1"/>
  <c r="C20" i="1"/>
  <c r="C19" i="1"/>
  <c r="B7" i="1"/>
  <c r="C7" i="1"/>
  <c r="A28" i="6" l="1"/>
  <c r="C34" i="3"/>
  <c r="C35" i="3"/>
  <c r="C36" i="3"/>
  <c r="C37" i="3"/>
  <c r="C38" i="3"/>
  <c r="C39" i="3"/>
  <c r="C40" i="3"/>
  <c r="C41" i="3"/>
  <c r="C42" i="3"/>
  <c r="C43" i="3"/>
  <c r="C44" i="3"/>
  <c r="C33" i="3"/>
  <c r="D18" i="3"/>
  <c r="B34" i="3" s="1"/>
  <c r="D19" i="3"/>
  <c r="B35" i="3" s="1"/>
  <c r="D20" i="3"/>
  <c r="B36" i="3" s="1"/>
  <c r="D21" i="3"/>
  <c r="B37" i="3" s="1"/>
  <c r="D22" i="3"/>
  <c r="B38" i="3" s="1"/>
  <c r="D23" i="3"/>
  <c r="B39" i="3" s="1"/>
  <c r="D24" i="3"/>
  <c r="B40" i="3" s="1"/>
  <c r="D25" i="3"/>
  <c r="B41" i="3" s="1"/>
  <c r="D26" i="3"/>
  <c r="B42" i="3" s="1"/>
  <c r="D27" i="3"/>
  <c r="B43" i="3" s="1"/>
  <c r="D28" i="3"/>
  <c r="B44" i="3" s="1"/>
  <c r="D17" i="3"/>
  <c r="B33" i="3" s="1"/>
  <c r="D29" i="3"/>
  <c r="B10" i="3"/>
  <c r="B11" i="3"/>
  <c r="C36" i="2"/>
  <c r="B44" i="2"/>
  <c r="C44" i="2" s="1"/>
  <c r="B43" i="2" a="1"/>
  <c r="B43" i="2" s="1"/>
  <c r="C43" i="2" s="1"/>
  <c r="B52" i="2" s="1"/>
  <c r="B42" i="2" a="1"/>
  <c r="B42" i="2" s="1"/>
  <c r="C42" i="2" s="1"/>
  <c r="B51" i="2" s="1"/>
  <c r="B41" i="2" a="1"/>
  <c r="B41" i="2" s="1"/>
  <c r="C9" i="2"/>
  <c r="C11" i="2"/>
  <c r="C13" i="2" s="1"/>
  <c r="B47" i="3" l="1"/>
  <c r="F33" i="3"/>
  <c r="D33" i="3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B53" i="2"/>
  <c r="C41" i="2"/>
  <c r="B45" i="2"/>
  <c r="C45" i="2" s="1"/>
  <c r="B54" i="2" s="1"/>
  <c r="D42" i="2"/>
  <c r="C51" i="2" s="1"/>
  <c r="D51" i="2" s="1"/>
  <c r="E51" i="2" s="1"/>
  <c r="E42" i="2"/>
  <c r="F42" i="2" s="1"/>
  <c r="G42" i="2" s="1"/>
  <c r="D43" i="2"/>
  <c r="C52" i="2" s="1"/>
  <c r="D52" i="2" s="1"/>
  <c r="E43" i="2"/>
  <c r="F43" i="2" s="1"/>
  <c r="G43" i="2" s="1"/>
  <c r="D44" i="2"/>
  <c r="E44" i="2"/>
  <c r="F44" i="2" s="1"/>
  <c r="G44" i="2" s="1"/>
  <c r="B48" i="3" l="1"/>
  <c r="G33" i="3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E33" i="3"/>
  <c r="H33" i="3"/>
  <c r="I33" i="3" s="1"/>
  <c r="F34" i="3"/>
  <c r="C53" i="2"/>
  <c r="D53" i="2" s="1"/>
  <c r="B50" i="2"/>
  <c r="B57" i="2"/>
  <c r="D41" i="2"/>
  <c r="B49" i="3" l="1"/>
  <c r="B51" i="3"/>
  <c r="B52" i="3" s="1"/>
  <c r="H34" i="3"/>
  <c r="I34" i="3" s="1"/>
  <c r="F35" i="3"/>
  <c r="C50" i="2"/>
  <c r="D50" i="2" s="1"/>
  <c r="E50" i="2" s="1"/>
  <c r="B58" i="2"/>
  <c r="B59" i="2" s="1"/>
  <c r="C59" i="2" s="1"/>
  <c r="D45" i="2"/>
  <c r="E41" i="2"/>
  <c r="F41" i="2" s="1"/>
  <c r="G41" i="2" s="1"/>
  <c r="H35" i="3" l="1"/>
  <c r="I35" i="3" s="1"/>
  <c r="F36" i="3"/>
  <c r="E45" i="2"/>
  <c r="F45" i="2" s="1"/>
  <c r="G45" i="2" s="1"/>
  <c r="C54" i="2"/>
  <c r="D54" i="2" s="1"/>
  <c r="E54" i="2" s="1"/>
  <c r="H36" i="3" l="1"/>
  <c r="I36" i="3" s="1"/>
  <c r="F37" i="3"/>
  <c r="H37" i="3" l="1"/>
  <c r="I37" i="3" s="1"/>
  <c r="F38" i="3"/>
  <c r="H38" i="3" l="1"/>
  <c r="I38" i="3" s="1"/>
  <c r="F39" i="3"/>
  <c r="H39" i="3" l="1"/>
  <c r="I39" i="3" s="1"/>
  <c r="F40" i="3"/>
  <c r="H40" i="3" l="1"/>
  <c r="I40" i="3" s="1"/>
  <c r="F41" i="3"/>
  <c r="H41" i="3" l="1"/>
  <c r="I41" i="3" s="1"/>
  <c r="F42" i="3"/>
  <c r="H42" i="3" l="1"/>
  <c r="I42" i="3" s="1"/>
  <c r="F43" i="3"/>
  <c r="H43" i="3" l="1"/>
  <c r="I43" i="3" s="1"/>
  <c r="F44" i="3"/>
  <c r="H44" i="3" s="1"/>
  <c r="I4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<sst xmlns="http://schemas.openxmlformats.org/spreadsheetml/2006/main" count="358" uniqueCount="287">
  <si>
    <t>SIEMENS MOBILITY — FINANCIAL ANALYSIS MODEL</t>
  </si>
  <si>
    <t>WHAT THIS FILE IS</t>
  </si>
  <si>
    <t>This model analyzes Siemens Mobility segment performance using real data from the FY2025 Annual Report. It includes a variance analysis explaining profit movement from FY2024 to FY2025, a labor cost model, a 12-month FY2026 forecast, and an executive dashboard. Independent financial analysis built from the publicly available Siemens FY2025 Annual Report. Not affiliated with or endorsed by Siemens.</t>
  </si>
  <si>
    <t>How to navigate</t>
  </si>
  <si>
    <t>README — Start here. You are reading it.</t>
  </si>
  <si>
    <t>DATA — All source numbers from Siemens FY2025 Annual Report. Change inputs here only.</t>
  </si>
  <si>
    <t>ANALYSIS — Variance bridge showing why profit changed + labor cost center model.</t>
  </si>
  <si>
    <t>FORECAST — Monthly FY2026 projection based on EUR 12B backlog conversion target.</t>
  </si>
  <si>
    <t>DASHBOARD — One page executive view with charts and KPI cards.</t>
  </si>
  <si>
    <t>SOURCES — Every data point documented with note references.</t>
  </si>
  <si>
    <t>KEY ASSUMPTIONS</t>
  </si>
  <si>
    <t>1. Labor ratio of 44% derived from Group personnel costs Note 27 — actual plant data from SAP replaces this on day one.</t>
  </si>
  <si>
    <t>2. Seasonality weights based on manufacturing patterns — actual Lexington production schedule replaces these.</t>
  </si>
  <si>
    <t>3. Margin improvement assumes linear ramp from 8.83% to 11.5% — actual operations plan replaces this.</t>
  </si>
  <si>
    <t>Data as of September 30 2025 | Source: Siemens FY2025 Annual Report | Built: April 2026</t>
  </si>
  <si>
    <t>SIEMENS MOBILITY — FY2025 FINANCIAL DATA</t>
  </si>
  <si>
    <t>Source: Siemens FY2025 Annual Report</t>
  </si>
  <si>
    <t>Metric</t>
  </si>
  <si>
    <t>FY2024 Actual</t>
  </si>
  <si>
    <t>FY2025 Actual</t>
  </si>
  <si>
    <t>Unit</t>
  </si>
  <si>
    <t>Notes</t>
  </si>
  <si>
    <t>Revenue</t>
  </si>
  <si>
    <t>€M</t>
  </si>
  <si>
    <t>Segment revenue</t>
  </si>
  <si>
    <t>Profit</t>
  </si>
  <si>
    <t>EBITA adjusted</t>
  </si>
  <si>
    <t>Profit Margin</t>
  </si>
  <si>
    <t>%</t>
  </si>
  <si>
    <t>Calculated</t>
  </si>
  <si>
    <t>Orders</t>
  </si>
  <si>
    <t>New contracts signed</t>
  </si>
  <si>
    <t>Severance</t>
  </si>
  <si>
    <t>One-time restructuring cost</t>
  </si>
  <si>
    <t>Order Backlog</t>
  </si>
  <si>
    <t>Total unbuilt orders</t>
  </si>
  <si>
    <t>Backlog FY2026 Conversion</t>
  </si>
  <si>
    <t>Expected next year revenue</t>
  </si>
  <si>
    <t>CAPEX</t>
  </si>
  <si>
    <t>PP&amp;E additions</t>
  </si>
  <si>
    <t>Depreciation</t>
  </si>
  <si>
    <t>Asset aging</t>
  </si>
  <si>
    <t>FCF</t>
  </si>
  <si>
    <t>Cash after capex</t>
  </si>
  <si>
    <t>Margin Target Low</t>
  </si>
  <si>
    <t>Siemens stated range</t>
  </si>
  <si>
    <t>Margin Target High</t>
  </si>
  <si>
    <t>DERIVED METRICS</t>
  </si>
  <si>
    <t>Revenue Growth</t>
  </si>
  <si>
    <t>Profit Growth</t>
  </si>
  <si>
    <t>% change in profit</t>
  </si>
  <si>
    <t>Margin Change (pp)</t>
  </si>
  <si>
    <t>Percentage point difference
Report shows -0.1pp due to rounding. Model uses full precision.</t>
  </si>
  <si>
    <t>CAPEX/Depreciation Ratio</t>
  </si>
  <si>
    <t>FCF Change</t>
  </si>
  <si>
    <t>% change in FCF</t>
  </si>
  <si>
    <t>Backlog Coverage (years)</t>
  </si>
  <si>
    <t>How many years of revenue in backlog</t>
  </si>
  <si>
    <t>SIEMENS MOBILITY — VARIANCE BRIDGE FY2024 → FY2025</t>
  </si>
  <si>
    <t>Profit Movement Analysis</t>
  </si>
  <si>
    <t>Component</t>
  </si>
  <si>
    <t>Formula Logic</t>
  </si>
  <si>
    <t>€M Impact</t>
  </si>
  <si>
    <t>Explanation</t>
  </si>
  <si>
    <t>FY2024 Baseline Profit</t>
  </si>
  <si>
    <t>Direct reference from DATA sheet</t>
  </si>
  <si>
    <t>Starting point</t>
  </si>
  <si>
    <t>Volume effect</t>
  </si>
  <si>
    <t>(FY2025 Revenue - FY2024 Revenue) × FY2024 Margin</t>
  </si>
  <si>
    <t>Extra profit from selling more</t>
  </si>
  <si>
    <t>Margin/Cost Effect</t>
  </si>
  <si>
    <t>(FY2025 Margin - FY2024 Margin) × FY2025 Revenue</t>
  </si>
  <si>
    <t>Impact of margin compression</t>
  </si>
  <si>
    <t>Severance Change</t>
  </si>
  <si>
    <t>-(FY2025 Severance - FY2024 Severance)</t>
  </si>
  <si>
    <t>Incremental restructuring cost</t>
  </si>
  <si>
    <t>Residual / Other</t>
  </si>
  <si>
    <t>FY2025 Actual - Sum of explained components</t>
  </si>
  <si>
    <t>Unexplained difference</t>
  </si>
  <si>
    <t>FY2025 Implied Profit</t>
  </si>
  <si>
    <t>SUM of all bridge components above</t>
  </si>
  <si>
    <t>Model result — must equal FY2025 actual</t>
  </si>
  <si>
    <t>FY2025 Actual Profit</t>
  </si>
  <si>
    <t>From annual report</t>
  </si>
  <si>
    <t>Variance (must = 0)</t>
  </si>
  <si>
    <t>Implied minus Actual — must equal zero</t>
  </si>
  <si>
    <t>Model check</t>
  </si>
  <si>
    <t>KEY RATIOS &amp; SIGNALS</t>
  </si>
  <si>
    <t>CAPEX Health Ratio</t>
  </si>
  <si>
    <t>CAPEX divided by Depreciation</t>
  </si>
  <si>
    <t>FCF Conversion Rate</t>
  </si>
  <si>
    <t>FCF divided by Profit</t>
  </si>
  <si>
    <t>Margin vs Target Low</t>
  </si>
  <si>
    <t>Actual Margin minus Minimum Target (10%)</t>
  </si>
  <si>
    <t>Margin vs Target High</t>
  </si>
  <si>
    <t>Actual Margin minus Maximum Target (13%)</t>
  </si>
  <si>
    <t>Revenue per Backlog Year</t>
  </si>
  <si>
    <t>Direct reference — FY2025 Revenue</t>
  </si>
  <si>
    <t>LABOR &amp; COST CENTER ANALYSIS</t>
  </si>
  <si>
    <t>Cost structure derived from Siemens FY2025 Annual Report — Note 27 and Consolidated P&amp;L</t>
  </si>
  <si>
    <t>Labor ratio based on Group personnel costs €31,598M ÷ Group revenue €78,914M = 40% of revenue = 44% of total costs</t>
  </si>
  <si>
    <t xml:space="preserve">Assumptions </t>
  </si>
  <si>
    <t>Ratio</t>
  </si>
  <si>
    <t>Source</t>
  </si>
  <si>
    <t>Labor % of Total Costs</t>
  </si>
  <si>
    <t>Note 27, Siemens FY2025 Annual Report</t>
  </si>
  <si>
    <t>Materials % of Total Costs</t>
  </si>
  <si>
    <t>Derived — remainder after labor and overhead</t>
  </si>
  <si>
    <t>Overhead % of Total Costs</t>
  </si>
  <si>
    <t>Industry standard, consistent with capital-intensive manufacturing</t>
  </si>
  <si>
    <t>Verify (must = 100%)</t>
  </si>
  <si>
    <t>Sanity check — must be green</t>
  </si>
  <si>
    <t>COST STRUCTURE DERIVATION</t>
  </si>
  <si>
    <t>Total Revenue</t>
  </si>
  <si>
    <t>Direct from DATA sheet</t>
  </si>
  <si>
    <t>FY2025 actual €12,444M</t>
  </si>
  <si>
    <t>Total Profit</t>
  </si>
  <si>
    <t>FY2025 actual €1,099M</t>
  </si>
  <si>
    <t>Total Costs</t>
  </si>
  <si>
    <t>Revenue minus Profit</t>
  </si>
  <si>
    <t>Implied total cost base</t>
  </si>
  <si>
    <t>Costs as % of Revenue</t>
  </si>
  <si>
    <t>Total Costs divided by Revenue</t>
  </si>
  <si>
    <t>Cost ratio — higher means worse</t>
  </si>
  <si>
    <t>PART A — LABOR BOOKING MODEL</t>
  </si>
  <si>
    <t>Monthly simulation based on FY2025 Mobility segment figures</t>
  </si>
  <si>
    <t>Labor Category</t>
  </si>
  <si>
    <t>Annual Estimate €M</t>
  </si>
  <si>
    <t>Monthly Budget €M</t>
  </si>
  <si>
    <t>Monthly Actual €M</t>
  </si>
  <si>
    <t>Variance €M</t>
  </si>
  <si>
    <t>Variance %</t>
  </si>
  <si>
    <t>Status</t>
  </si>
  <si>
    <t>Direct Labor</t>
  </si>
  <si>
    <t>Indirect Labor</t>
  </si>
  <si>
    <t>Materials</t>
  </si>
  <si>
    <t>Manufacturing Overhead</t>
  </si>
  <si>
    <t>TOTAL</t>
  </si>
  <si>
    <t>PART B — COST CENTER CONTROL SUMMARY</t>
  </si>
  <si>
    <t>Management view — monthly performance vs budget</t>
  </si>
  <si>
    <t>Cost Center</t>
  </si>
  <si>
    <t>Budget €M</t>
  </si>
  <si>
    <t>Actual €M</t>
  </si>
  <si>
    <t>RAG Status</t>
  </si>
  <si>
    <t>Manufacturing OH</t>
  </si>
  <si>
    <t>ABSORPTION IMPACT NOTE</t>
  </si>
  <si>
    <t>Overhead absorption rate (Budget):</t>
  </si>
  <si>
    <t>€ overhead per € direct labor — budget</t>
  </si>
  <si>
    <t>Overhead absorption rate (Actual):</t>
  </si>
  <si>
    <t>€ overhead per € direct labor — actual</t>
  </si>
  <si>
    <t>Absorption Variance:</t>
  </si>
  <si>
    <t>SIEMENS MOBILITY — FY2026 FORECAST MODEL</t>
  </si>
  <si>
    <t>Based on €12B backlog conversion target — Siemens FY2025 Annual Report</t>
  </si>
  <si>
    <t>FORECAST ASSUMPTIONS</t>
  </si>
  <si>
    <t>Annual Revenue Target</t>
  </si>
  <si>
    <t>Pulled from backlog conversion</t>
  </si>
  <si>
    <t>Margin Scenario — Low</t>
  </si>
  <si>
    <t>Siemens minimum target 10%</t>
  </si>
  <si>
    <t>Margin Scenario — High</t>
  </si>
  <si>
    <t>Siemens maximum target 13%</t>
  </si>
  <si>
    <t>Margin Scenario — Base</t>
  </si>
  <si>
    <t>Midpoint of target range</t>
  </si>
  <si>
    <t>FY2025 Actual Margin</t>
  </si>
  <si>
    <t>Reference point — current performance</t>
  </si>
  <si>
    <t>Annual Cost Target (Base)</t>
  </si>
  <si>
    <t>Revenue minus expected profit</t>
  </si>
  <si>
    <t>Monthly Revenue Baseline</t>
  </si>
  <si>
    <t>Flat baseline before seasonality</t>
  </si>
  <si>
    <t>Margin Gap to Close</t>
  </si>
  <si>
    <t>How much margin must improve vs FY2025</t>
  </si>
  <si>
    <t>SEASONALITY WEIGHTS</t>
  </si>
  <si>
    <t>Weights must sum to 100% — sanity check built in</t>
  </si>
  <si>
    <t>Month</t>
  </si>
  <si>
    <t>Weight</t>
  </si>
  <si>
    <t>Rationale</t>
  </si>
  <si>
    <t>Monthly Revenue €M</t>
  </si>
  <si>
    <t>October</t>
  </si>
  <si>
    <t>Fiscal year start — ramp up</t>
  </si>
  <si>
    <t>November</t>
  </si>
  <si>
    <t>Full production</t>
  </si>
  <si>
    <t>December</t>
  </si>
  <si>
    <t>Holiday slowdown</t>
  </si>
  <si>
    <t>January</t>
  </si>
  <si>
    <t>Restart after holidays</t>
  </si>
  <si>
    <t>February</t>
  </si>
  <si>
    <t>March</t>
  </si>
  <si>
    <t>Q1 close push</t>
  </si>
  <si>
    <t>April</t>
  </si>
  <si>
    <t>May</t>
  </si>
  <si>
    <t>June</t>
  </si>
  <si>
    <t>Pre-summer push</t>
  </si>
  <si>
    <t>July</t>
  </si>
  <si>
    <t>Summer vacation — reduced output</t>
  </si>
  <si>
    <t>August</t>
  </si>
  <si>
    <t>Ramp back up</t>
  </si>
  <si>
    <t>September</t>
  </si>
  <si>
    <t>Fiscal year-end — maximum push</t>
  </si>
  <si>
    <t>Total</t>
  </si>
  <si>
    <t>Must equal 100%</t>
  </si>
  <si>
    <t>MONTHLY FORECAST — FY2026</t>
  </si>
  <si>
    <t>Revenue €M</t>
  </si>
  <si>
    <t>Target Margin %</t>
  </si>
  <si>
    <t>Target Profit €M</t>
  </si>
  <si>
    <t>Target Costs €M</t>
  </si>
  <si>
    <t>Cumulative Revenue €M</t>
  </si>
  <si>
    <t>Cumulative Profit €M</t>
  </si>
  <si>
    <t>% of Annual Target</t>
  </si>
  <si>
    <t>On Track?</t>
  </si>
  <si>
    <t>ANNUAL SUMMARY</t>
  </si>
  <si>
    <t>Total Forecast Revenue</t>
  </si>
  <si>
    <t>Must equal €12,000M</t>
  </si>
  <si>
    <t>Total Forecast Profit</t>
  </si>
  <si>
    <t>Expected annual profit</t>
  </si>
  <si>
    <t>Average Forecast Margin</t>
  </si>
  <si>
    <t>Blended margin across all months</t>
  </si>
  <si>
    <t>Comparison baseline</t>
  </si>
  <si>
    <t>Profit Improvement</t>
  </si>
  <si>
    <t>How much better than FY2025</t>
  </si>
  <si>
    <t>Profit Improvement %</t>
  </si>
  <si>
    <t>Growth rate</t>
  </si>
  <si>
    <t>SIEMENS MOBILITY — FY2026 OPERATIONS FINANCE DASHBOARD</t>
  </si>
  <si>
    <t>FY2026 REVENUE TARGET</t>
  </si>
  <si>
    <t>FORECAST PROFIT FY2026</t>
  </si>
  <si>
    <t>AVG FORECAST MARGIN</t>
  </si>
  <si>
    <t>MARGIN GAP TO CLOSE</t>
  </si>
  <si>
    <t>Backlog Conversion</t>
  </si>
  <si>
    <t>vs FY2025 actual performance</t>
  </si>
  <si>
    <t>VARIANCE BRIDGE DATA</t>
  </si>
  <si>
    <t>Category</t>
  </si>
  <si>
    <t>FY2024 Profit</t>
  </si>
  <si>
    <t>Volume Effect</t>
  </si>
  <si>
    <t>Severance Impact</t>
  </si>
  <si>
    <t>Residual</t>
  </si>
  <si>
    <t>FY2025 Profit</t>
  </si>
  <si>
    <t>MONTHLY FORECAST DATA</t>
  </si>
  <si>
    <t>Margin %</t>
  </si>
  <si>
    <t>EXECUTIVE SUMMARY - KEY SIGNALS</t>
  </si>
  <si>
    <t>Value</t>
  </si>
  <si>
    <t>Signal</t>
  </si>
  <si>
    <t>FY2026 Revenue Target</t>
  </si>
  <si>
    <t>Full backlog conversion require</t>
  </si>
  <si>
    <t>FY2026 Forecast Profit</t>
  </si>
  <si>
    <t>Backlog Coverage</t>
  </si>
  <si>
    <t>Production capacity is the constraint not sales</t>
  </si>
  <si>
    <t>Labor Cost Ratio</t>
  </si>
  <si>
    <t>Source: Note 27 FY2025 Annual Report</t>
  </si>
  <si>
    <t>Source: Siemens FY2025 Annual Report |Independent financial analysis — not affiliated with or endorsed by Siemens</t>
  </si>
  <si>
    <t>SOURCE DOCUMENTATION</t>
  </si>
  <si>
    <t>All data used in this financial model</t>
  </si>
  <si>
    <t>#</t>
  </si>
  <si>
    <t>Source Document</t>
  </si>
  <si>
    <t>Section/Note</t>
  </si>
  <si>
    <t>Data Used</t>
  </si>
  <si>
    <t>Applied In</t>
  </si>
  <si>
    <t>Siemens FY2025 Annual Report</t>
  </si>
  <si>
    <t>Mobility Segment Table</t>
  </si>
  <si>
    <t>Revenue €12,444M, Profit €1,099M, Orders €16,994M</t>
  </si>
  <si>
    <t>DATA sheet</t>
  </si>
  <si>
    <t>FY2024 Revenue €11,420M, Profit €1,013M</t>
  </si>
  <si>
    <t>Order Backlog €52B, FY2026 conversion €12B</t>
  </si>
  <si>
    <t>DATA, FORECAST</t>
  </si>
  <si>
    <t>Note 29 Segment Data</t>
  </si>
  <si>
    <t>CAPEX €222M, Depreciation €270M, FCF €1,027M</t>
  </si>
  <si>
    <t>Note 27 Personnel Costs</t>
  </si>
  <si>
    <t>Group personnel costs €31,598M — basis for 44% labor ratio</t>
  </si>
  <si>
    <t>ANALYSIS Block 3</t>
  </si>
  <si>
    <t>Consolidated P&amp;L</t>
  </si>
  <si>
    <t>Group revenue €78,914M — denominator for labor ratio</t>
  </si>
  <si>
    <t>Severance €32M FY2025, €25M FY2024</t>
  </si>
  <si>
    <t>ANALYSIS variance bridge</t>
  </si>
  <si>
    <t>Combined Management Report</t>
  </si>
  <si>
    <t>FY2026 Mobility margin target 8-10%, mid-term target 10-13%</t>
  </si>
  <si>
    <t>FORECAST</t>
  </si>
  <si>
    <t>METHODOLOGY NOTES</t>
  </si>
  <si>
    <t>Labor cost ratio of 44% derived by applying Group personnel cost ratio to Mobility total costs. Actual plant-level ratios would replace this on day one.</t>
  </si>
  <si>
    <t>Seasonality weights based on manufacturing industry patterns. Actual Lexington plant production schedule would replace these.</t>
  </si>
  <si>
    <t>Margin improvement ramp assumes linear progression from FY2025 actual to FY2026 base target. Actual improvement depends on operational execution.</t>
  </si>
  <si>
    <t>XLOOKUP DEMONSTRATION</t>
  </si>
  <si>
    <t>Scenario: Looking up monthly forecast data by month name</t>
  </si>
  <si>
    <t>Reference table</t>
  </si>
  <si>
    <t>Revenue EM</t>
  </si>
  <si>
    <t>MONTH LOOKUP TOOL</t>
  </si>
  <si>
    <t>Type any month name below</t>
  </si>
  <si>
    <t>Revenue for selected month:</t>
  </si>
  <si>
    <t>Margin for selected month:</t>
  </si>
  <si>
    <t>Monthly Average Revenue</t>
  </si>
  <si>
    <t>Performance: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</si>
</sst>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\ [$€-1]"/>
  </numFmts>
  <fonts count="1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1" fillId="0" borderId="0" xfId="0" applyFont="1" applyAlignment="1">
      <alignment wrapText="1"/>
    </xf>
    <xf numFmtId="3" fontId="0" fillId="0" borderId="1" xfId="0" applyNumberFormat="1" applyBorder="1"/>
    <xf numFmtId="0" fontId="0" fillId="0" borderId="1" xfId="0" quotePrefix="1" applyBorder="1" applyAlignment="1">
      <alignment wrapText="1"/>
    </xf>
    <xf numFmtId="3" fontId="0" fillId="0" borderId="1" xfId="0" applyNumberForma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wrapText="1"/>
    </xf>
    <xf numFmtId="0" fontId="0" fillId="0" borderId="3" xfId="0" applyBorder="1"/>
    <xf numFmtId="2" fontId="0" fillId="0" borderId="5" xfId="0" applyNumberFormat="1" applyBorder="1"/>
    <xf numFmtId="0" fontId="0" fillId="0" borderId="0" xfId="0" quotePrefix="1" applyBorder="1"/>
    <xf numFmtId="0" fontId="0" fillId="0" borderId="0" xfId="0" applyBorder="1"/>
    <xf numFmtId="3" fontId="0" fillId="0" borderId="1" xfId="0" quotePrefix="1" applyNumberFormat="1" applyBorder="1"/>
    <xf numFmtId="164" fontId="0" fillId="0" borderId="1" xfId="0" quotePrefix="1" applyNumberFormat="1" applyBorder="1"/>
    <xf numFmtId="2" fontId="0" fillId="0" borderId="0" xfId="0" applyNumberFormat="1"/>
    <xf numFmtId="0" fontId="2" fillId="3" borderId="0" xfId="0" applyFont="1" applyFill="1"/>
    <xf numFmtId="0" fontId="0" fillId="0" borderId="0" xfId="0" quotePrefix="1"/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Border="1" applyAlignment="1">
      <alignment wrapText="1"/>
    </xf>
    <xf numFmtId="4" fontId="0" fillId="0" borderId="1" xfId="0" applyNumberFormat="1" applyBorder="1"/>
    <xf numFmtId="165" fontId="0" fillId="0" borderId="1" xfId="0" applyNumberFormat="1" applyBorder="1"/>
    <xf numFmtId="0" fontId="0" fillId="0" borderId="6" xfId="0" applyBorder="1"/>
    <xf numFmtId="164" fontId="0" fillId="0" borderId="6" xfId="0" applyNumberFormat="1" applyBorder="1"/>
    <xf numFmtId="0" fontId="0" fillId="0" borderId="6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3" fontId="0" fillId="0" borderId="0" xfId="0" applyNumberFormat="1"/>
    <xf numFmtId="0" fontId="0" fillId="0" borderId="0" xfId="0" applyNumberFormat="1" applyAlignment="1">
      <alignment horizontal="right" vertical="center"/>
    </xf>
    <xf numFmtId="164" fontId="0" fillId="0" borderId="0" xfId="0" applyNumberFormat="1"/>
    <xf numFmtId="0" fontId="8" fillId="0" borderId="0" xfId="0" applyFont="1"/>
    <xf numFmtId="0" fontId="0" fillId="0" borderId="0" xfId="0" applyAlignment="1"/>
    <xf numFmtId="0" fontId="8" fillId="0" borderId="0" xfId="0" applyFont="1" applyAlignment="1">
      <alignment wrapText="1"/>
    </xf>
    <xf numFmtId="0" fontId="1" fillId="0" borderId="0" xfId="0" applyFont="1" applyAlignment="1"/>
    <xf numFmtId="0" fontId="2" fillId="6" borderId="1" xfId="0" applyFont="1" applyFill="1" applyBorder="1"/>
    <xf numFmtId="0" fontId="0" fillId="6" borderId="1" xfId="0" applyFill="1" applyBorder="1"/>
    <xf numFmtId="4" fontId="0" fillId="0" borderId="5" xfId="0" applyNumberFormat="1" applyBorder="1"/>
    <xf numFmtId="0" fontId="2" fillId="7" borderId="1" xfId="0" applyFont="1" applyFill="1" applyBorder="1" applyAlignment="1">
      <alignment horizontal="center" vertical="center" wrapText="1"/>
    </xf>
    <xf numFmtId="0" fontId="0" fillId="0" borderId="7" xfId="0" applyBorder="1"/>
    <xf numFmtId="2" fontId="0" fillId="0" borderId="7" xfId="0" applyNumberFormat="1" applyBorder="1"/>
    <xf numFmtId="164" fontId="0" fillId="0" borderId="7" xfId="0" applyNumberFormat="1" applyBorder="1"/>
    <xf numFmtId="0" fontId="0" fillId="0" borderId="7" xfId="0" applyBorder="1" applyAlignment="1">
      <alignment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3" fontId="8" fillId="0" borderId="8" xfId="0" applyNumberFormat="1" applyFont="1" applyBorder="1" applyAlignment="1">
      <alignment wrapText="1"/>
    </xf>
    <xf numFmtId="164" fontId="8" fillId="0" borderId="8" xfId="0" applyNumberFormat="1" applyFont="1" applyBorder="1"/>
    <xf numFmtId="0" fontId="0" fillId="9" borderId="8" xfId="0" applyFill="1" applyBorder="1" applyAlignment="1">
      <alignment horizontal="center" vertical="center"/>
    </xf>
    <xf numFmtId="0" fontId="9" fillId="0" borderId="0" xfId="0" applyFont="1"/>
    <xf numFmtId="0" fontId="8" fillId="0" borderId="8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6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1" fillId="0" borderId="12" xfId="0" applyFont="1" applyBorder="1"/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9" fontId="13" fillId="0" borderId="1" xfId="0" applyNumberFormat="1" applyFont="1" applyBorder="1"/>
    <xf numFmtId="9" fontId="13" fillId="0" borderId="1" xfId="0" applyNumberFormat="1" applyFont="1" applyBorder="1" applyAlignment="1">
      <alignment wrapText="1"/>
    </xf>
    <xf numFmtId="3" fontId="14" fillId="0" borderId="1" xfId="0" applyNumberFormat="1" applyFont="1" applyBorder="1"/>
    <xf numFmtId="3" fontId="14" fillId="0" borderId="1" xfId="0" quotePrefix="1" applyNumberFormat="1" applyFont="1" applyBorder="1"/>
    <xf numFmtId="4" fontId="0" fillId="0" borderId="7" xfId="0" applyNumberFormat="1" applyBorder="1"/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1" fillId="0" borderId="12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7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58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 Monthly Revenue &amp; Margin Forecast</a:t>
            </a:r>
          </a:p>
        </c:rich>
      </c:tx>
      <c:layout>
        <c:manualLayout>
          <c:xMode val="edge"/>
          <c:yMode val="edge"/>
          <c:x val="0.15448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DASHBOARD!$B$21:$B$32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DASHBOARD!$C$21:$C$32</c:f>
              <c:numCache>
                <c:formatCode>#,##0</c:formatCode>
                <c:ptCount val="12"/>
                <c:pt idx="0">
                  <c:v>960</c:v>
                </c:pt>
                <c:pt idx="1">
                  <c:v>1020.0000000000001</c:v>
                </c:pt>
                <c:pt idx="2">
                  <c:v>840.00000000000011</c:v>
                </c:pt>
                <c:pt idx="3">
                  <c:v>900</c:v>
                </c:pt>
                <c:pt idx="4">
                  <c:v>1080</c:v>
                </c:pt>
                <c:pt idx="5">
                  <c:v>1140</c:v>
                </c:pt>
                <c:pt idx="6">
                  <c:v>1020.0000000000001</c:v>
                </c:pt>
                <c:pt idx="7">
                  <c:v>1080</c:v>
                </c:pt>
                <c:pt idx="8">
                  <c:v>960</c:v>
                </c:pt>
                <c:pt idx="9">
                  <c:v>840.00000000000011</c:v>
                </c:pt>
                <c:pt idx="10">
                  <c:v>960</c:v>
                </c:pt>
                <c:pt idx="1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9-4E77-928D-6AC1FF8DE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9529991"/>
        <c:axId val="2119546375"/>
      </c:barChart>
      <c:lineChart>
        <c:grouping val="standard"/>
        <c:varyColors val="0"/>
        <c:ser>
          <c:idx val="1"/>
          <c:order val="1"/>
          <c:tx>
            <c:strRef>
              <c:f>DASHBOARD!$D$20</c:f>
              <c:strCache>
                <c:ptCount val="1"/>
                <c:pt idx="0">
                  <c:v>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DASHBOARD!$B$21:$B$32</c:f>
              <c:strCache>
                <c:ptCount val="12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</c:strCache>
            </c:strRef>
          </c:cat>
          <c:val>
            <c:numRef>
              <c:f>DASHBOARD!$D$21:$D$32</c:f>
              <c:numCache>
                <c:formatCode>0.0%</c:formatCode>
                <c:ptCount val="12"/>
                <c:pt idx="0">
                  <c:v>8.8315654130504656E-2</c:v>
                </c:pt>
                <c:pt idx="1">
                  <c:v>9.0741503755004227E-2</c:v>
                </c:pt>
                <c:pt idx="2">
                  <c:v>9.3167353379503812E-2</c:v>
                </c:pt>
                <c:pt idx="3">
                  <c:v>9.5593203004003383E-2</c:v>
                </c:pt>
                <c:pt idx="4">
                  <c:v>9.8019052628502967E-2</c:v>
                </c:pt>
                <c:pt idx="5">
                  <c:v>0.10044490225300254</c:v>
                </c:pt>
                <c:pt idx="6">
                  <c:v>0.10287075187750212</c:v>
                </c:pt>
                <c:pt idx="7">
                  <c:v>0.10529660150200169</c:v>
                </c:pt>
                <c:pt idx="8">
                  <c:v>0.10772245112650128</c:v>
                </c:pt>
                <c:pt idx="9">
                  <c:v>0.11014830075100085</c:v>
                </c:pt>
                <c:pt idx="10">
                  <c:v>0.11257415037550043</c:v>
                </c:pt>
                <c:pt idx="11">
                  <c:v>0.115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9-4E77-928D-6AC1FF8DE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111815"/>
        <c:axId val="2133092359"/>
      </c:lineChart>
      <c:catAx>
        <c:axId val="2119529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46375"/>
        <c:crosses val="autoZero"/>
        <c:auto val="1"/>
        <c:lblAlgn val="ctr"/>
        <c:lblOffset val="100"/>
        <c:noMultiLvlLbl val="0"/>
      </c:catAx>
      <c:valAx>
        <c:axId val="211954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29991"/>
        <c:crosses val="autoZero"/>
        <c:crossBetween val="between"/>
      </c:valAx>
      <c:valAx>
        <c:axId val="2133092359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1815"/>
        <c:crosses val="max"/>
        <c:crossBetween val="between"/>
      </c:valAx>
      <c:catAx>
        <c:axId val="2133111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3092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Profit Variance Bridge FY2024 → FY2025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Profit Variance Bridge FY2024 → FY2025</a:t>
          </a:r>
        </a:p>
      </cx:txPr>
    </cx:title>
    <cx:plotArea>
      <cx:plotAreaRegion>
        <cx:series layoutId="waterfall" uniqueId="{00000000-E118-4D6E-A0C3-FB7309CC06F8}">
          <cx:tx>
            <cx:txData>
              <cx:f>_xlchart.v1.0</cx:f>
              <cx:v>€M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19050</xdr:rowOff>
    </xdr:from>
    <xdr:to>
      <xdr:col>6</xdr:col>
      <xdr:colOff>95250</xdr:colOff>
      <xdr:row>23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7F71511-79D2-DEE8-BB73-1AE24FD6C4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24</xdr:row>
      <xdr:rowOff>19050</xdr:rowOff>
    </xdr:from>
    <xdr:to>
      <xdr:col>6</xdr:col>
      <xdr:colOff>800100</xdr:colOff>
      <xdr:row>43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93F6AC-0F52-E7D3-B04B-5BACCC037961}"/>
            </a:ext>
            <a:ext uri="{147F2762-F138-4A5C-976F-8EAC2B608ADB}">
              <a16:predDERef xmlns:a16="http://schemas.microsoft.com/office/drawing/2014/main" pred="{37F71511-79D2-DEE8-BB73-1AE24FD6C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E804-2B2A-4D24-8BE0-C449F51BD205}">
  <sheetPr>
    <tabColor rgb="FFF58C14"/>
  </sheetPr>
  <dimension ref="B1:D18"/>
  <sheetViews>
    <sheetView showGridLines="0" workbookViewId="0">
      <selection activeCell="B14" sqref="B14"/>
    </sheetView>
  </sheetViews>
  <sheetFormatPr defaultRowHeight="15"/>
  <cols>
    <col min="1" max="1" width="3.7109375" customWidth="1"/>
    <col min="2" max="2" width="25.7109375" customWidth="1"/>
    <col min="3" max="3" width="40.7109375" customWidth="1"/>
    <col min="4" max="4" width="20.7109375" customWidth="1"/>
    <col min="5" max="5" width="3.7109375" customWidth="1"/>
  </cols>
  <sheetData>
    <row r="1" spans="2:4" ht="21">
      <c r="B1" s="92" t="s">
        <v>0</v>
      </c>
      <c r="C1" s="93"/>
      <c r="D1" s="94"/>
    </row>
    <row r="2" spans="2:4">
      <c r="B2" s="63"/>
      <c r="C2" s="20"/>
      <c r="D2" s="64"/>
    </row>
    <row r="3" spans="2:4" ht="17.25" customHeight="1">
      <c r="B3" s="65" t="s">
        <v>1</v>
      </c>
      <c r="C3" s="20"/>
      <c r="D3" s="64"/>
    </row>
    <row r="4" spans="2:4" ht="81" customHeight="1">
      <c r="B4" s="98" t="s">
        <v>2</v>
      </c>
      <c r="C4" s="99"/>
      <c r="D4" s="100"/>
    </row>
    <row r="5" spans="2:4">
      <c r="B5" s="63"/>
      <c r="C5" s="20"/>
      <c r="D5" s="64"/>
    </row>
    <row r="6" spans="2:4" ht="18.75" customHeight="1">
      <c r="B6" s="101" t="s">
        <v>3</v>
      </c>
      <c r="C6" s="102"/>
      <c r="D6" s="103"/>
    </row>
    <row r="7" spans="2:4">
      <c r="B7" s="104" t="s">
        <v>4</v>
      </c>
      <c r="C7" s="105"/>
      <c r="D7" s="106"/>
    </row>
    <row r="8" spans="2:4">
      <c r="B8" s="104" t="s">
        <v>5</v>
      </c>
      <c r="C8" s="105"/>
      <c r="D8" s="106"/>
    </row>
    <row r="9" spans="2:4">
      <c r="B9" s="104" t="s">
        <v>6</v>
      </c>
      <c r="C9" s="105"/>
      <c r="D9" s="106"/>
    </row>
    <row r="10" spans="2:4">
      <c r="B10" s="104" t="s">
        <v>7</v>
      </c>
      <c r="C10" s="105"/>
      <c r="D10" s="106"/>
    </row>
    <row r="11" spans="2:4">
      <c r="B11" s="104" t="s">
        <v>8</v>
      </c>
      <c r="C11" s="105"/>
      <c r="D11" s="106"/>
    </row>
    <row r="12" spans="2:4">
      <c r="B12" s="104" t="s">
        <v>9</v>
      </c>
      <c r="C12" s="105"/>
      <c r="D12" s="106"/>
    </row>
    <row r="13" spans="2:4">
      <c r="B13" s="66"/>
      <c r="C13" s="67"/>
      <c r="D13" s="68"/>
    </row>
    <row r="14" spans="2:4">
      <c r="B14" s="69" t="s">
        <v>10</v>
      </c>
      <c r="C14" s="67"/>
      <c r="D14" s="68"/>
    </row>
    <row r="15" spans="2:4" ht="31.5" customHeight="1">
      <c r="B15" s="104" t="s">
        <v>11</v>
      </c>
      <c r="C15" s="105"/>
      <c r="D15" s="106"/>
    </row>
    <row r="16" spans="2:4" ht="30.75" customHeight="1">
      <c r="B16" s="104" t="s">
        <v>12</v>
      </c>
      <c r="C16" s="105"/>
      <c r="D16" s="106"/>
    </row>
    <row r="17" spans="2:4" ht="32.25" customHeight="1">
      <c r="B17" s="104" t="s">
        <v>13</v>
      </c>
      <c r="C17" s="105"/>
      <c r="D17" s="106"/>
    </row>
    <row r="18" spans="2:4" ht="15.75">
      <c r="B18" s="95" t="s">
        <v>14</v>
      </c>
      <c r="C18" s="96"/>
      <c r="D18" s="97"/>
    </row>
  </sheetData>
  <mergeCells count="13">
    <mergeCell ref="B1:D1"/>
    <mergeCell ref="B18:D18"/>
    <mergeCell ref="B4:D4"/>
    <mergeCell ref="B6:D6"/>
    <mergeCell ref="B15:D15"/>
    <mergeCell ref="B16:D16"/>
    <mergeCell ref="B17:D17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8" tint="-0.499984740745262"/>
  </sheetPr>
  <dimension ref="A1:E24"/>
  <sheetViews>
    <sheetView workbookViewId="0">
      <pane ySplit="4" topLeftCell="A21" activePane="bottomLeft" state="frozen"/>
      <selection pane="bottomLeft"/>
    </sheetView>
  </sheetViews>
  <sheetFormatPr defaultRowHeight="15"/>
  <cols>
    <col min="1" max="1" width="35.140625" bestFit="1" customWidth="1"/>
    <col min="2" max="2" width="24.7109375" bestFit="1" customWidth="1"/>
    <col min="3" max="3" width="13.28515625" bestFit="1" customWidth="1"/>
    <col min="4" max="4" width="10.28515625" bestFit="1" customWidth="1"/>
    <col min="5" max="5" width="64.140625" customWidth="1"/>
    <col min="6" max="6" width="25.140625" bestFit="1" customWidth="1"/>
  </cols>
  <sheetData>
    <row r="1" spans="1:5" ht="37.5">
      <c r="A1" s="10" t="s">
        <v>15</v>
      </c>
    </row>
    <row r="2" spans="1:5">
      <c r="A2" t="s">
        <v>16</v>
      </c>
    </row>
    <row r="4" spans="1:5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</row>
    <row r="5" spans="1:5">
      <c r="A5" s="2" t="s">
        <v>22</v>
      </c>
      <c r="B5" s="5">
        <v>11420</v>
      </c>
      <c r="C5" s="5">
        <v>12444</v>
      </c>
      <c r="D5" s="2" t="s">
        <v>23</v>
      </c>
      <c r="E5" s="2" t="s">
        <v>24</v>
      </c>
    </row>
    <row r="6" spans="1:5">
      <c r="A6" s="2" t="s">
        <v>25</v>
      </c>
      <c r="B6" s="5">
        <v>1013</v>
      </c>
      <c r="C6" s="5">
        <v>1099</v>
      </c>
      <c r="D6" s="2" t="s">
        <v>23</v>
      </c>
      <c r="E6" s="2" t="s">
        <v>26</v>
      </c>
    </row>
    <row r="7" spans="1:5">
      <c r="A7" s="2" t="s">
        <v>27</v>
      </c>
      <c r="B7" s="4">
        <f>B6/B5</f>
        <v>8.8704028021015763E-2</v>
      </c>
      <c r="C7" s="4">
        <f>C6/C5</f>
        <v>8.8315654130504656E-2</v>
      </c>
      <c r="D7" s="2" t="s">
        <v>28</v>
      </c>
      <c r="E7" s="2" t="s">
        <v>29</v>
      </c>
    </row>
    <row r="8" spans="1:5">
      <c r="A8" s="2" t="s">
        <v>30</v>
      </c>
      <c r="B8" s="5">
        <v>15795</v>
      </c>
      <c r="C8" s="5">
        <v>16994</v>
      </c>
      <c r="D8" s="2" t="s">
        <v>23</v>
      </c>
      <c r="E8" s="2" t="s">
        <v>31</v>
      </c>
    </row>
    <row r="9" spans="1:5">
      <c r="A9" s="2" t="s">
        <v>32</v>
      </c>
      <c r="B9" s="5">
        <v>25</v>
      </c>
      <c r="C9" s="5">
        <v>32</v>
      </c>
      <c r="D9" s="2" t="s">
        <v>23</v>
      </c>
      <c r="E9" s="2" t="s">
        <v>33</v>
      </c>
    </row>
    <row r="10" spans="1:5">
      <c r="A10" s="2" t="s">
        <v>34</v>
      </c>
      <c r="B10" s="5">
        <v>48000</v>
      </c>
      <c r="C10" s="5">
        <v>52000</v>
      </c>
      <c r="D10" s="2" t="s">
        <v>23</v>
      </c>
      <c r="E10" s="2" t="s">
        <v>35</v>
      </c>
    </row>
    <row r="11" spans="1:5">
      <c r="A11" s="2" t="s">
        <v>36</v>
      </c>
      <c r="B11" s="5">
        <v>0</v>
      </c>
      <c r="C11" s="5">
        <v>12000</v>
      </c>
      <c r="D11" s="2" t="s">
        <v>23</v>
      </c>
      <c r="E11" s="2" t="s">
        <v>37</v>
      </c>
    </row>
    <row r="12" spans="1:5">
      <c r="A12" s="2" t="s">
        <v>38</v>
      </c>
      <c r="B12" s="5">
        <v>190</v>
      </c>
      <c r="C12" s="5">
        <v>222</v>
      </c>
      <c r="D12" s="2" t="s">
        <v>23</v>
      </c>
      <c r="E12" s="2" t="s">
        <v>39</v>
      </c>
    </row>
    <row r="13" spans="1:5">
      <c r="A13" s="2" t="s">
        <v>40</v>
      </c>
      <c r="B13" s="5">
        <v>256</v>
      </c>
      <c r="C13" s="5">
        <v>270</v>
      </c>
      <c r="D13" s="2" t="s">
        <v>23</v>
      </c>
      <c r="E13" s="2" t="s">
        <v>41</v>
      </c>
    </row>
    <row r="14" spans="1:5">
      <c r="A14" s="2" t="s">
        <v>42</v>
      </c>
      <c r="B14" s="5">
        <v>1159</v>
      </c>
      <c r="C14" s="5">
        <v>1027</v>
      </c>
      <c r="D14" s="2" t="s">
        <v>23</v>
      </c>
      <c r="E14" s="2" t="s">
        <v>43</v>
      </c>
    </row>
    <row r="15" spans="1:5">
      <c r="A15" s="2" t="s">
        <v>44</v>
      </c>
      <c r="B15" s="3">
        <v>0.1</v>
      </c>
      <c r="C15" s="3">
        <v>0.1</v>
      </c>
      <c r="D15" s="2" t="s">
        <v>28</v>
      </c>
      <c r="E15" s="2" t="s">
        <v>45</v>
      </c>
    </row>
    <row r="16" spans="1:5">
      <c r="A16" s="2" t="s">
        <v>46</v>
      </c>
      <c r="B16" s="3">
        <v>0.13</v>
      </c>
      <c r="C16" s="3">
        <v>0.13</v>
      </c>
      <c r="D16" s="2" t="s">
        <v>28</v>
      </c>
      <c r="E16" s="2" t="s">
        <v>45</v>
      </c>
    </row>
    <row r="18" spans="1:5">
      <c r="A18" s="107" t="s">
        <v>47</v>
      </c>
      <c r="B18" s="108"/>
      <c r="C18" s="108"/>
      <c r="D18" s="108"/>
      <c r="E18" s="109"/>
    </row>
    <row r="19" spans="1:5">
      <c r="A19" s="2" t="s">
        <v>48</v>
      </c>
      <c r="B19" s="2"/>
      <c r="C19" s="9">
        <f>(C5-B5)/B5</f>
        <v>8.9667250437828375E-2</v>
      </c>
      <c r="D19" s="2"/>
      <c r="E19" s="2"/>
    </row>
    <row r="20" spans="1:5">
      <c r="A20" s="2" t="s">
        <v>49</v>
      </c>
      <c r="B20" s="2"/>
      <c r="C20" s="9">
        <f>(C6-B6)/B6</f>
        <v>8.489634748272458E-2</v>
      </c>
      <c r="D20" s="2"/>
      <c r="E20" s="2" t="s">
        <v>50</v>
      </c>
    </row>
    <row r="21" spans="1:5" ht="30.75" customHeight="1">
      <c r="A21" s="2" t="s">
        <v>51</v>
      </c>
      <c r="B21" s="2"/>
      <c r="C21" s="6">
        <f>C7-B7</f>
        <v>-3.8837389051110671E-4</v>
      </c>
      <c r="D21" s="2"/>
      <c r="E21" s="8" t="s">
        <v>52</v>
      </c>
    </row>
    <row r="22" spans="1:5">
      <c r="A22" s="2" t="s">
        <v>53</v>
      </c>
      <c r="B22" s="7">
        <f>B12/B13</f>
        <v>0.7421875</v>
      </c>
      <c r="C22" s="7">
        <f>C12/C13</f>
        <v>0.82222222222222219</v>
      </c>
      <c r="D22" s="2"/>
      <c r="E22" s="2"/>
    </row>
    <row r="23" spans="1:5">
      <c r="A23" s="2" t="s">
        <v>54</v>
      </c>
      <c r="B23" s="2"/>
      <c r="C23" s="9">
        <f>(C14-B14)/B14</f>
        <v>-0.11389128559102675</v>
      </c>
      <c r="D23" s="2"/>
      <c r="E23" s="2" t="s">
        <v>55</v>
      </c>
    </row>
    <row r="24" spans="1:5">
      <c r="A24" s="2" t="s">
        <v>56</v>
      </c>
      <c r="B24" s="2"/>
      <c r="C24" s="7">
        <f>C10/C5</f>
        <v>4.1787206685953073</v>
      </c>
      <c r="D24" s="2"/>
      <c r="E24" s="8" t="s">
        <v>57</v>
      </c>
    </row>
  </sheetData>
  <mergeCells count="1">
    <mergeCell ref="A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4DE9-99BF-4F0E-BDF2-31A4D1D0738A}">
  <sheetPr>
    <tabColor theme="9" tint="-0.249977111117893"/>
  </sheetPr>
  <dimension ref="A1:G7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6.5703125" bestFit="1" customWidth="1"/>
    <col min="2" max="2" width="37" customWidth="1"/>
    <col min="3" max="3" width="10.5703125" customWidth="1"/>
    <col min="4" max="4" width="45.140625" customWidth="1"/>
    <col min="5" max="5" width="36.5703125" bestFit="1" customWidth="1"/>
    <col min="7" max="7" width="36.5703125" bestFit="1" customWidth="1"/>
  </cols>
  <sheetData>
    <row r="1" spans="1:4" ht="45.75" customHeight="1">
      <c r="A1" s="10" t="s">
        <v>58</v>
      </c>
    </row>
    <row r="2" spans="1:4">
      <c r="A2" t="s">
        <v>59</v>
      </c>
    </row>
    <row r="4" spans="1:4">
      <c r="A4" s="14" t="s">
        <v>60</v>
      </c>
      <c r="B4" s="14" t="s">
        <v>61</v>
      </c>
      <c r="C4" s="14" t="s">
        <v>62</v>
      </c>
      <c r="D4" s="14" t="s">
        <v>63</v>
      </c>
    </row>
    <row r="5" spans="1:4">
      <c r="A5" s="2" t="s">
        <v>64</v>
      </c>
      <c r="B5" s="8" t="s">
        <v>65</v>
      </c>
      <c r="C5" s="11">
        <f>Data!B6</f>
        <v>1013</v>
      </c>
      <c r="D5" s="2" t="s">
        <v>66</v>
      </c>
    </row>
    <row r="6" spans="1:4" ht="30.75">
      <c r="A6" s="2" t="s">
        <v>67</v>
      </c>
      <c r="B6" s="8" t="s">
        <v>68</v>
      </c>
      <c r="C6" s="16">
        <f>(Data!C5-Data!B5)*Data!B7</f>
        <v>90.832924693520141</v>
      </c>
      <c r="D6" s="2" t="s">
        <v>69</v>
      </c>
    </row>
    <row r="7" spans="1:4" ht="30.75">
      <c r="A7" s="2" t="s">
        <v>70</v>
      </c>
      <c r="B7" s="8" t="s">
        <v>71</v>
      </c>
      <c r="C7" s="7">
        <f>(Data!C7-Data!B7)*Data!C5</f>
        <v>-4.8329246935202121</v>
      </c>
      <c r="D7" s="2" t="s">
        <v>72</v>
      </c>
    </row>
    <row r="8" spans="1:4" ht="45.75">
      <c r="A8" s="2" t="s">
        <v>73</v>
      </c>
      <c r="B8" s="12" t="s">
        <v>74</v>
      </c>
      <c r="C8" s="13">
        <f>-(Data!C9-Data!B9)</f>
        <v>-7</v>
      </c>
      <c r="D8" s="2" t="s">
        <v>75</v>
      </c>
    </row>
    <row r="9" spans="1:4" ht="60.75">
      <c r="A9" s="2" t="s">
        <v>76</v>
      </c>
      <c r="B9" s="8" t="s">
        <v>77</v>
      </c>
      <c r="C9" s="13">
        <f>Data!C6-SUM(ANALYSIS!C5:C8)</f>
        <v>7</v>
      </c>
      <c r="D9" s="2" t="s">
        <v>78</v>
      </c>
    </row>
    <row r="11" spans="1:4" ht="30.75">
      <c r="A11" s="2" t="s">
        <v>79</v>
      </c>
      <c r="B11" s="8" t="s">
        <v>80</v>
      </c>
      <c r="C11" s="11">
        <f>SUM(C5:C9)</f>
        <v>1099</v>
      </c>
      <c r="D11" s="8" t="s">
        <v>81</v>
      </c>
    </row>
    <row r="12" spans="1:4">
      <c r="A12" s="2" t="s">
        <v>82</v>
      </c>
      <c r="B12" s="8" t="s">
        <v>65</v>
      </c>
      <c r="C12" s="11">
        <f>Data!C6</f>
        <v>1099</v>
      </c>
      <c r="D12" s="2" t="s">
        <v>83</v>
      </c>
    </row>
    <row r="13" spans="1:4">
      <c r="A13" s="2" t="s">
        <v>84</v>
      </c>
      <c r="B13" s="8" t="s">
        <v>85</v>
      </c>
      <c r="C13" s="11">
        <f>C11-C12</f>
        <v>0</v>
      </c>
      <c r="D13" s="2" t="s">
        <v>86</v>
      </c>
    </row>
    <row r="14" spans="1:4">
      <c r="B14" s="1"/>
    </row>
    <row r="15" spans="1:4">
      <c r="A15" s="110" t="s">
        <v>87</v>
      </c>
      <c r="B15" s="111"/>
      <c r="C15" s="110"/>
      <c r="D15" s="110"/>
    </row>
    <row r="16" spans="1:4">
      <c r="A16" s="17" t="s">
        <v>88</v>
      </c>
      <c r="B16" s="2" t="s">
        <v>89</v>
      </c>
      <c r="C16" s="18">
        <f>Data!C12/Data!C13</f>
        <v>0.82222222222222219</v>
      </c>
      <c r="D16" s="8" t="str">
        <f>IF(C16&gt;=1, "Healthy - Investing ahead of aging", "Caution - assets aging faster than investment")</f>
        <v>Caution - assets aging faster than investment</v>
      </c>
    </row>
    <row r="17" spans="1:4">
      <c r="A17" s="17" t="s">
        <v>90</v>
      </c>
      <c r="B17" s="2" t="s">
        <v>91</v>
      </c>
      <c r="C17" s="18">
        <f>Data!C14/Data!C6</f>
        <v>0.93448589626933576</v>
      </c>
      <c r="D17" s="8" t="str">
        <f>IF(C17&gt;=0.8,"Strong cash conversion","Cash conversion below target — review timing")</f>
        <v>Strong cash conversion</v>
      </c>
    </row>
    <row r="18" spans="1:4" ht="30.75">
      <c r="A18" s="17" t="s">
        <v>92</v>
      </c>
      <c r="B18" s="8" t="s">
        <v>93</v>
      </c>
      <c r="C18" s="18">
        <f>Data!C7-Data!C15</f>
        <v>-1.1684345869495349E-2</v>
      </c>
      <c r="D18" s="8" t="str">
        <f>IF(C18&gt;=0, "At or above minimum target", "Below minimum target by "&amp;TEXT(ABS(C18),"0.00%"))</f>
        <v>Below minimum target by 1.17%</v>
      </c>
    </row>
    <row r="19" spans="1:4" ht="30.75">
      <c r="A19" s="17" t="s">
        <v>94</v>
      </c>
      <c r="B19" s="8" t="s">
        <v>95</v>
      </c>
      <c r="C19" s="18">
        <f>Data!C7-Data!C16</f>
        <v>-4.1684345869495348E-2</v>
      </c>
      <c r="D19" s="2" t="str">
        <f>IF(C19&gt;=0,"At or above maximum target","Gap to maximum target: "&amp;TEXT(ABS(C19),"0.00%"))</f>
        <v>Gap to maximum target: 4.17%</v>
      </c>
    </row>
    <row r="20" spans="1:4">
      <c r="A20" s="17" t="s">
        <v>96</v>
      </c>
      <c r="B20" s="2" t="s">
        <v>97</v>
      </c>
      <c r="C20" s="45">
        <f>Data!C10/Data!C5</f>
        <v>4.1787206685953073</v>
      </c>
      <c r="D20" s="2" t="str">
        <f>"At current revenue pace, backlog clears in "&amp;TEXT(Data!C10/Data!C5,"0.0")&amp;" years"</f>
        <v>At current revenue pace, backlog clears in 4.2 years</v>
      </c>
    </row>
    <row r="23" spans="1:4">
      <c r="A23" s="112" t="s">
        <v>98</v>
      </c>
      <c r="B23" s="112"/>
      <c r="C23" s="112"/>
      <c r="D23" s="112"/>
    </row>
    <row r="24" spans="1:4" ht="28.5" customHeight="1">
      <c r="A24" s="78" t="s">
        <v>99</v>
      </c>
      <c r="B24" s="78"/>
      <c r="C24" s="78"/>
      <c r="D24" s="78"/>
    </row>
    <row r="25" spans="1:4" ht="24" customHeight="1">
      <c r="A25" s="118" t="s">
        <v>100</v>
      </c>
      <c r="B25" s="118"/>
      <c r="C25" s="118"/>
      <c r="D25" s="118"/>
    </row>
    <row r="26" spans="1:4">
      <c r="A26" s="62" t="s">
        <v>101</v>
      </c>
      <c r="B26" s="62" t="s">
        <v>102</v>
      </c>
      <c r="C26" s="113" t="s">
        <v>103</v>
      </c>
      <c r="D26" s="113"/>
    </row>
    <row r="27" spans="1:4">
      <c r="A27" s="2" t="s">
        <v>104</v>
      </c>
      <c r="B27" s="70">
        <v>0.44</v>
      </c>
      <c r="C27" s="114" t="s">
        <v>105</v>
      </c>
      <c r="D27" s="114"/>
    </row>
    <row r="28" spans="1:4" ht="15" customHeight="1">
      <c r="A28" s="8" t="s">
        <v>106</v>
      </c>
      <c r="B28" s="71">
        <v>0.36</v>
      </c>
      <c r="C28" s="114" t="s">
        <v>107</v>
      </c>
      <c r="D28" s="114"/>
    </row>
    <row r="29" spans="1:4" ht="17.25" customHeight="1">
      <c r="A29" s="8" t="s">
        <v>108</v>
      </c>
      <c r="B29" s="71">
        <v>0.2</v>
      </c>
      <c r="C29" s="114" t="s">
        <v>109</v>
      </c>
      <c r="D29" s="114"/>
    </row>
    <row r="30" spans="1:4">
      <c r="A30" s="2" t="s">
        <v>110</v>
      </c>
      <c r="B30" s="2">
        <f>SUM(B27:B29)</f>
        <v>1</v>
      </c>
      <c r="C30" s="116" t="s">
        <v>111</v>
      </c>
      <c r="D30" s="116"/>
    </row>
    <row r="31" spans="1:4">
      <c r="A31" s="19"/>
      <c r="B31" s="20"/>
      <c r="C31" s="20"/>
      <c r="D31" s="20"/>
    </row>
    <row r="32" spans="1:4">
      <c r="A32" s="117" t="s">
        <v>112</v>
      </c>
      <c r="B32" s="117"/>
      <c r="C32" s="117"/>
      <c r="D32" s="117"/>
    </row>
    <row r="33" spans="1:7">
      <c r="A33" s="2" t="s">
        <v>113</v>
      </c>
      <c r="B33" s="2" t="s">
        <v>114</v>
      </c>
      <c r="C33" s="72">
        <f>Data!C5</f>
        <v>12444</v>
      </c>
      <c r="D33" s="2" t="s">
        <v>115</v>
      </c>
    </row>
    <row r="34" spans="1:7">
      <c r="A34" s="2" t="s">
        <v>116</v>
      </c>
      <c r="B34" s="8" t="s">
        <v>114</v>
      </c>
      <c r="C34" s="73">
        <f>Data!C6</f>
        <v>1099</v>
      </c>
      <c r="D34" s="2" t="s">
        <v>117</v>
      </c>
    </row>
    <row r="35" spans="1:7">
      <c r="A35" s="2" t="s">
        <v>118</v>
      </c>
      <c r="B35" s="8" t="s">
        <v>119</v>
      </c>
      <c r="C35" s="21">
        <f>C33-C34</f>
        <v>11345</v>
      </c>
      <c r="D35" s="2" t="s">
        <v>120</v>
      </c>
    </row>
    <row r="36" spans="1:7">
      <c r="A36" s="2" t="s">
        <v>121</v>
      </c>
      <c r="B36" s="8" t="s">
        <v>122</v>
      </c>
      <c r="C36" s="22">
        <f>C35/C33</f>
        <v>0.91168434586949532</v>
      </c>
      <c r="D36" s="2" t="s">
        <v>123</v>
      </c>
    </row>
    <row r="38" spans="1:7">
      <c r="A38" s="115" t="s">
        <v>124</v>
      </c>
      <c r="B38" s="115"/>
      <c r="C38" s="115"/>
      <c r="D38" s="115"/>
      <c r="E38" s="115"/>
      <c r="F38" s="115"/>
      <c r="G38" s="115"/>
    </row>
    <row r="39" spans="1:7" ht="30.75">
      <c r="A39" s="1" t="s">
        <v>125</v>
      </c>
    </row>
    <row r="40" spans="1:7" ht="30.75">
      <c r="A40" s="46" t="s">
        <v>126</v>
      </c>
      <c r="B40" s="46" t="s">
        <v>127</v>
      </c>
      <c r="C40" s="46" t="s">
        <v>128</v>
      </c>
      <c r="D40" s="46" t="s">
        <v>129</v>
      </c>
      <c r="E40" s="46" t="s">
        <v>130</v>
      </c>
      <c r="F40" s="46" t="s">
        <v>131</v>
      </c>
      <c r="G40" s="46" t="s">
        <v>132</v>
      </c>
    </row>
    <row r="41" spans="1:7" ht="45.75">
      <c r="A41" s="47" t="s">
        <v>133</v>
      </c>
      <c r="B41" s="74" cm="1">
        <f t="array" ref="B41">C35 * LaborPct * 0.7</f>
        <v>3494.2599999999998</v>
      </c>
      <c r="C41" s="48">
        <f>B41/12</f>
        <v>291.18833333333333</v>
      </c>
      <c r="D41" s="48">
        <f>C41*1.03</f>
        <v>299.92398333333335</v>
      </c>
      <c r="E41" s="48">
        <f>C41-D41</f>
        <v>-8.735650000000021</v>
      </c>
      <c r="F41" s="49">
        <f>E41/C41</f>
        <v>-3.0000000000000072E-2</v>
      </c>
      <c r="G41" s="50" t="str">
        <f>IF(F41&gt;=0, "Favorable",IF(F41&gt;=-0.05, "Watch", "Unfavorable - Action Required"))</f>
        <v>Watch</v>
      </c>
    </row>
    <row r="42" spans="1:7">
      <c r="A42" s="2" t="s">
        <v>134</v>
      </c>
      <c r="B42" s="29" cm="1">
        <f t="array" ref="B42">C35*LaborPct*0.3</f>
        <v>1497.54</v>
      </c>
      <c r="C42" s="7">
        <f t="shared" ref="C42:C45" si="0">B42/12</f>
        <v>124.795</v>
      </c>
      <c r="D42" s="7">
        <f>C42*0.98</f>
        <v>122.2991</v>
      </c>
      <c r="E42" s="7">
        <f t="shared" ref="E42:E45" si="1">C42-D42</f>
        <v>2.495900000000006</v>
      </c>
      <c r="F42" s="9">
        <f>E42/C42</f>
        <v>2.0000000000000049E-2</v>
      </c>
      <c r="G42" s="8" t="str">
        <f t="shared" ref="G42:G44" si="2">IF(F42&gt;=0, "Favorable",IF(F42&gt;=-0.05, "Watch", "Unfavorable - Action Required"))</f>
        <v>Favorable</v>
      </c>
    </row>
    <row r="43" spans="1:7">
      <c r="A43" s="2" t="s">
        <v>135</v>
      </c>
      <c r="B43" s="29" cm="1">
        <f t="array" ref="B43">C35*MaterialPct</f>
        <v>4084.2</v>
      </c>
      <c r="C43" s="7">
        <f t="shared" si="0"/>
        <v>340.34999999999997</v>
      </c>
      <c r="D43" s="7">
        <f>C43*1.05</f>
        <v>357.36750000000001</v>
      </c>
      <c r="E43" s="7">
        <f t="shared" si="1"/>
        <v>-17.017500000000041</v>
      </c>
      <c r="F43" s="9">
        <f t="shared" ref="F43:F45" si="3">E43/C43</f>
        <v>-5.0000000000000128E-2</v>
      </c>
      <c r="G43" s="8" t="str">
        <f t="shared" si="2"/>
        <v>Unfavorable - Action Required</v>
      </c>
    </row>
    <row r="44" spans="1:7">
      <c r="A44" s="2" t="s">
        <v>136</v>
      </c>
      <c r="B44" s="29">
        <f>C35*B29</f>
        <v>2269</v>
      </c>
      <c r="C44" s="7">
        <f t="shared" si="0"/>
        <v>189.08333333333334</v>
      </c>
      <c r="D44" s="7">
        <f>C44*1.01</f>
        <v>190.97416666666669</v>
      </c>
      <c r="E44" s="7">
        <f t="shared" si="1"/>
        <v>-1.8908333333333474</v>
      </c>
      <c r="F44" s="9">
        <f t="shared" si="3"/>
        <v>-1.0000000000000073E-2</v>
      </c>
      <c r="G44" s="8" t="str">
        <f t="shared" si="2"/>
        <v>Watch</v>
      </c>
    </row>
    <row r="45" spans="1:7">
      <c r="A45" s="2" t="s">
        <v>137</v>
      </c>
      <c r="B45" s="29">
        <f>SUM(B41:B44)</f>
        <v>11345</v>
      </c>
      <c r="C45" s="7">
        <f t="shared" si="0"/>
        <v>945.41666666666663</v>
      </c>
      <c r="D45" s="7">
        <f>SUM(D41:D44)</f>
        <v>970.56475</v>
      </c>
      <c r="E45" s="7">
        <f t="shared" si="1"/>
        <v>-25.148083333333375</v>
      </c>
      <c r="F45" s="9">
        <f t="shared" si="3"/>
        <v>-2.6600000000000044E-2</v>
      </c>
      <c r="G45" s="16" t="str">
        <f>IF(F45&gt;=0,"Total: Favorable",IF(F45&gt;=-0.03,"Total: Watch - Review Line Items","Total: Unfavorable - Immediate Review"))</f>
        <v>Total: Watch - Review Line Items</v>
      </c>
    </row>
    <row r="46" spans="1:7">
      <c r="D46" s="23"/>
    </row>
    <row r="47" spans="1:7" ht="30.75" customHeight="1">
      <c r="A47" s="115" t="s">
        <v>138</v>
      </c>
      <c r="B47" s="115"/>
      <c r="C47" s="115"/>
      <c r="D47" s="115"/>
      <c r="E47" s="115"/>
    </row>
    <row r="48" spans="1:7" ht="30.75" customHeight="1">
      <c r="A48" s="121" t="s">
        <v>139</v>
      </c>
      <c r="B48" s="121"/>
      <c r="C48" s="121"/>
      <c r="D48" s="121"/>
      <c r="E48" s="121"/>
    </row>
    <row r="49" spans="1:5">
      <c r="A49" s="24" t="s">
        <v>140</v>
      </c>
      <c r="B49" s="24" t="s">
        <v>141</v>
      </c>
      <c r="C49" s="24" t="s">
        <v>142</v>
      </c>
      <c r="D49" s="24" t="s">
        <v>130</v>
      </c>
      <c r="E49" s="24" t="s">
        <v>143</v>
      </c>
    </row>
    <row r="50" spans="1:5" ht="49.5">
      <c r="A50" s="2" t="s">
        <v>133</v>
      </c>
      <c r="B50" s="7">
        <f>C41</f>
        <v>291.18833333333333</v>
      </c>
      <c r="C50" s="7">
        <f>D41</f>
        <v>299.92398333333335</v>
      </c>
      <c r="D50" s="7">
        <f>C50-B50</f>
        <v>8.735650000000021</v>
      </c>
      <c r="E50" s="26" t="str">
        <f>IF(D50&lt;=0, "🟢 On Track", IF(D50/B50&lt;=0.05, "🟡 Monitor", "🔴 Escalate"))</f>
        <v>🟡 Monitor</v>
      </c>
    </row>
    <row r="51" spans="1:5" ht="16.5">
      <c r="A51" s="2" t="s">
        <v>134</v>
      </c>
      <c r="B51" s="7">
        <f t="shared" ref="B51:C54" si="4">C42</f>
        <v>124.795</v>
      </c>
      <c r="C51" s="7">
        <f t="shared" si="4"/>
        <v>122.2991</v>
      </c>
      <c r="D51" s="7">
        <f t="shared" ref="D51:D54" si="5">C51-B51</f>
        <v>-2.495900000000006</v>
      </c>
      <c r="E51" s="26" t="str">
        <f t="shared" ref="E51:E54" si="6">IF(D51&lt;=0, "🟢 On Track", IF(D51/B51&lt;=0.05, "🟡 Monitor", "🔴 Escalate"))</f>
        <v>🟢 On Track</v>
      </c>
    </row>
    <row r="52" spans="1:5" ht="16.5">
      <c r="A52" s="2" t="s">
        <v>135</v>
      </c>
      <c r="B52" s="7">
        <f t="shared" si="4"/>
        <v>340.34999999999997</v>
      </c>
      <c r="C52" s="7">
        <f t="shared" si="4"/>
        <v>357.36750000000001</v>
      </c>
      <c r="D52" s="7">
        <f t="shared" si="5"/>
        <v>17.017500000000041</v>
      </c>
      <c r="E52" s="26" t="str">
        <f t="shared" si="6"/>
        <v>🔴 Escalate</v>
      </c>
    </row>
    <row r="53" spans="1:5" ht="16.5">
      <c r="A53" s="2" t="s">
        <v>144</v>
      </c>
      <c r="B53" s="7">
        <f t="shared" si="4"/>
        <v>189.08333333333334</v>
      </c>
      <c r="C53" s="7">
        <f t="shared" si="4"/>
        <v>190.97416666666669</v>
      </c>
      <c r="D53" s="7">
        <f t="shared" si="5"/>
        <v>1.8908333333333474</v>
      </c>
      <c r="E53" s="26" t="str">
        <f t="shared" si="6"/>
        <v>🟡 Monitor</v>
      </c>
    </row>
    <row r="54" spans="1:5" ht="16.5">
      <c r="A54" s="2" t="s">
        <v>137</v>
      </c>
      <c r="B54" s="7">
        <f t="shared" si="4"/>
        <v>945.41666666666663</v>
      </c>
      <c r="C54" s="7">
        <f t="shared" si="4"/>
        <v>970.56475</v>
      </c>
      <c r="D54" s="7">
        <f t="shared" si="5"/>
        <v>25.148083333333375</v>
      </c>
      <c r="E54" s="26" t="str">
        <f t="shared" si="6"/>
        <v>🟡 Monitor</v>
      </c>
    </row>
    <row r="56" spans="1:5">
      <c r="A56" t="s">
        <v>145</v>
      </c>
    </row>
    <row r="57" spans="1:5">
      <c r="A57" s="8" t="s">
        <v>146</v>
      </c>
      <c r="B57" s="7">
        <f>C44/C41</f>
        <v>0.64935064935064934</v>
      </c>
      <c r="C57" s="119" t="s">
        <v>147</v>
      </c>
      <c r="D57" s="120"/>
    </row>
    <row r="58" spans="1:5">
      <c r="A58" s="8" t="s">
        <v>148</v>
      </c>
      <c r="B58" s="7">
        <f>D44/D41</f>
        <v>0.63674189887782129</v>
      </c>
      <c r="C58" s="119" t="s">
        <v>149</v>
      </c>
      <c r="D58" s="120"/>
    </row>
    <row r="59" spans="1:5" ht="30.75" customHeight="1">
      <c r="A59" s="8" t="s">
        <v>150</v>
      </c>
      <c r="B59" s="7">
        <f>B57-B58</f>
        <v>1.2608750472828056E-2</v>
      </c>
      <c r="C59" s="119" t="str">
        <f>IF(B59&gt;0,"Under-absorbed — overhead spreading thinner across fewer labor hours","Over-absorbed — favorable, overhead spread across more production")</f>
        <v>Under-absorbed — overhead spreading thinner across fewer labor hours</v>
      </c>
      <c r="D59" s="120"/>
    </row>
    <row r="60" spans="1:5">
      <c r="A60" s="1"/>
    </row>
    <row r="61" spans="1:5">
      <c r="A61" s="27"/>
    </row>
    <row r="63" spans="1:5">
      <c r="A63" s="1"/>
    </row>
    <row r="65" spans="1:1">
      <c r="A65" s="27"/>
    </row>
    <row r="66" spans="1:1">
      <c r="A66" s="27"/>
    </row>
    <row r="67" spans="1:1">
      <c r="A67" s="25"/>
    </row>
    <row r="68" spans="1:1">
      <c r="A68" s="25"/>
    </row>
    <row r="71" spans="1:1">
      <c r="A71" s="25"/>
    </row>
    <row r="72" spans="1:1">
      <c r="A72" s="25"/>
    </row>
    <row r="73" spans="1:1">
      <c r="A73" s="25"/>
    </row>
  </sheetData>
  <mergeCells count="16">
    <mergeCell ref="C57:D57"/>
    <mergeCell ref="C58:D58"/>
    <mergeCell ref="C59:D59"/>
    <mergeCell ref="A47:E47"/>
    <mergeCell ref="A48:E48"/>
    <mergeCell ref="A15:D15"/>
    <mergeCell ref="A23:D23"/>
    <mergeCell ref="C26:D26"/>
    <mergeCell ref="C27:D27"/>
    <mergeCell ref="A38:G38"/>
    <mergeCell ref="C30:D30"/>
    <mergeCell ref="C29:D29"/>
    <mergeCell ref="C28:D28"/>
    <mergeCell ref="A32:D32"/>
    <mergeCell ref="A24:D24"/>
    <mergeCell ref="A25:D25"/>
  </mergeCells>
  <conditionalFormatting sqref="C13">
    <cfRule type="cellIs" dxfId="16" priority="7" operator="notEqual">
      <formula>0</formula>
    </cfRule>
  </conditionalFormatting>
  <conditionalFormatting sqref="C13">
    <cfRule type="cellIs" dxfId="15" priority="6" operator="equal">
      <formula>0</formula>
    </cfRule>
  </conditionalFormatting>
  <conditionalFormatting sqref="B30">
    <cfRule type="cellIs" dxfId="14" priority="5" operator="equal">
      <formula>1</formula>
    </cfRule>
  </conditionalFormatting>
  <conditionalFormatting sqref="B30">
    <cfRule type="cellIs" dxfId="13" priority="4" operator="notEqual">
      <formula>1</formula>
    </cfRule>
  </conditionalFormatting>
  <conditionalFormatting sqref="G41:G45">
    <cfRule type="containsText" dxfId="12" priority="3" operator="containsText" text="Watch">
      <formula>NOT(ISERROR(SEARCH("Watch",G41)))</formula>
    </cfRule>
  </conditionalFormatting>
  <conditionalFormatting sqref="G41:G45">
    <cfRule type="containsText" dxfId="11" priority="2" operator="containsText" text="Favorable">
      <formula>NOT(ISERROR(SEARCH("Favorable",G41)))</formula>
    </cfRule>
  </conditionalFormatting>
  <conditionalFormatting sqref="G41:G45">
    <cfRule type="containsText" dxfId="10" priority="1" operator="containsText" text="Unfavorable">
      <formula>NOT(ISERROR(SEARCH("Unfavorable",G41)))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A8E5-8306-4EE1-A6BE-69FC6D55E796}">
  <sheetPr>
    <tabColor theme="5" tint="-0.249977111117893"/>
  </sheetPr>
  <dimension ref="A1:I68"/>
  <sheetViews>
    <sheetView tabSelected="1" topLeftCell="A2" workbookViewId="0">
      <selection activeCell="B15" sqref="B15"/>
    </sheetView>
  </sheetViews>
  <sheetFormatPr defaultRowHeight="15"/>
  <cols>
    <col min="1" max="1" width="24.28515625" customWidth="1"/>
    <col min="2" max="2" width="11.7109375" bestFit="1" customWidth="1"/>
    <col min="3" max="3" width="20.5703125" customWidth="1"/>
    <col min="4" max="4" width="19.42578125" customWidth="1"/>
    <col min="5" max="5" width="14.7109375" bestFit="1" customWidth="1"/>
    <col min="6" max="6" width="22" bestFit="1" customWidth="1"/>
    <col min="7" max="7" width="19.28515625" bestFit="1" customWidth="1"/>
    <col min="8" max="8" width="17.42578125" bestFit="1" customWidth="1"/>
    <col min="9" max="9" width="36.5703125" bestFit="1" customWidth="1"/>
  </cols>
  <sheetData>
    <row r="1" spans="1:4" ht="57">
      <c r="A1" s="28" t="s">
        <v>151</v>
      </c>
    </row>
    <row r="2" spans="1:4" ht="30.75">
      <c r="A2" s="1" t="s">
        <v>152</v>
      </c>
    </row>
    <row r="4" spans="1:4">
      <c r="A4" s="122" t="s">
        <v>153</v>
      </c>
      <c r="B4" s="122"/>
      <c r="C4" s="122"/>
    </row>
    <row r="5" spans="1:4">
      <c r="A5" s="8" t="s">
        <v>154</v>
      </c>
      <c r="B5" s="11">
        <f>Data!C11</f>
        <v>12000</v>
      </c>
      <c r="C5" s="8" t="s">
        <v>155</v>
      </c>
    </row>
    <row r="6" spans="1:4">
      <c r="A6" s="8" t="s">
        <v>156</v>
      </c>
      <c r="B6" s="6">
        <f>Data!C15</f>
        <v>0.1</v>
      </c>
      <c r="C6" s="8" t="s">
        <v>157</v>
      </c>
    </row>
    <row r="7" spans="1:4">
      <c r="A7" s="8" t="s">
        <v>158</v>
      </c>
      <c r="B7" s="6">
        <f>Data!C16</f>
        <v>0.13</v>
      </c>
      <c r="C7" s="8" t="s">
        <v>159</v>
      </c>
    </row>
    <row r="8" spans="1:4">
      <c r="A8" s="8" t="s">
        <v>160</v>
      </c>
      <c r="B8" s="6">
        <f>(B6+B7)/2</f>
        <v>0.115</v>
      </c>
      <c r="C8" s="8" t="s">
        <v>161</v>
      </c>
    </row>
    <row r="9" spans="1:4" ht="30.75">
      <c r="A9" s="8" t="s">
        <v>162</v>
      </c>
      <c r="B9" s="6">
        <f>Data!C7</f>
        <v>8.8315654130504656E-2</v>
      </c>
      <c r="C9" s="8" t="s">
        <v>163</v>
      </c>
    </row>
    <row r="10" spans="1:4">
      <c r="A10" s="8" t="s">
        <v>164</v>
      </c>
      <c r="B10" s="11">
        <f>B5*(1-B8)</f>
        <v>10620</v>
      </c>
      <c r="C10" s="8" t="s">
        <v>165</v>
      </c>
    </row>
    <row r="11" spans="1:4">
      <c r="A11" s="8" t="s">
        <v>166</v>
      </c>
      <c r="B11" s="11">
        <f>B5/12</f>
        <v>1000</v>
      </c>
      <c r="C11" s="8" t="s">
        <v>167</v>
      </c>
    </row>
    <row r="12" spans="1:4" ht="30.75">
      <c r="A12" s="8" t="s">
        <v>168</v>
      </c>
      <c r="B12" s="6">
        <f>B8-B9</f>
        <v>2.6684345869495349E-2</v>
      </c>
      <c r="C12" s="8" t="s">
        <v>169</v>
      </c>
    </row>
    <row r="14" spans="1:4" ht="18" customHeight="1">
      <c r="A14" s="123" t="s">
        <v>170</v>
      </c>
      <c r="B14" s="123"/>
      <c r="C14" s="123"/>
      <c r="D14" s="123"/>
    </row>
    <row r="15" spans="1:4" ht="30.75">
      <c r="A15" s="1" t="s">
        <v>171</v>
      </c>
    </row>
    <row r="16" spans="1:4">
      <c r="A16" s="2" t="s">
        <v>172</v>
      </c>
      <c r="B16" s="2" t="s">
        <v>173</v>
      </c>
      <c r="C16" s="8" t="s">
        <v>174</v>
      </c>
      <c r="D16" s="2" t="s">
        <v>175</v>
      </c>
    </row>
    <row r="17" spans="1:9" ht="30.75">
      <c r="A17" s="2" t="s">
        <v>176</v>
      </c>
      <c r="B17" s="9">
        <v>0.08</v>
      </c>
      <c r="C17" s="8" t="s">
        <v>177</v>
      </c>
      <c r="D17" s="2">
        <f>B17*$B$5</f>
        <v>960</v>
      </c>
    </row>
    <row r="18" spans="1:9">
      <c r="A18" s="2" t="s">
        <v>178</v>
      </c>
      <c r="B18" s="9">
        <v>8.5000000000000006E-2</v>
      </c>
      <c r="C18" s="8" t="s">
        <v>179</v>
      </c>
      <c r="D18" s="2">
        <f t="shared" ref="D18:D28" si="0">B18*$B$5</f>
        <v>1020.0000000000001</v>
      </c>
    </row>
    <row r="19" spans="1:9">
      <c r="A19" s="2" t="s">
        <v>180</v>
      </c>
      <c r="B19" s="9">
        <v>7.0000000000000007E-2</v>
      </c>
      <c r="C19" s="8" t="s">
        <v>181</v>
      </c>
      <c r="D19" s="2">
        <f t="shared" si="0"/>
        <v>840.00000000000011</v>
      </c>
    </row>
    <row r="20" spans="1:9">
      <c r="A20" s="2" t="s">
        <v>182</v>
      </c>
      <c r="B20" s="9">
        <v>7.4999999999999997E-2</v>
      </c>
      <c r="C20" s="8" t="s">
        <v>183</v>
      </c>
      <c r="D20" s="2">
        <f t="shared" si="0"/>
        <v>900</v>
      </c>
    </row>
    <row r="21" spans="1:9">
      <c r="A21" s="2" t="s">
        <v>184</v>
      </c>
      <c r="B21" s="9">
        <v>0.09</v>
      </c>
      <c r="C21" s="8" t="s">
        <v>179</v>
      </c>
      <c r="D21" s="2">
        <f t="shared" si="0"/>
        <v>1080</v>
      </c>
    </row>
    <row r="22" spans="1:9">
      <c r="A22" s="2" t="s">
        <v>185</v>
      </c>
      <c r="B22" s="9">
        <v>9.5000000000000001E-2</v>
      </c>
      <c r="C22" s="8" t="s">
        <v>186</v>
      </c>
      <c r="D22" s="2">
        <f t="shared" si="0"/>
        <v>1140</v>
      </c>
    </row>
    <row r="23" spans="1:9">
      <c r="A23" s="2" t="s">
        <v>187</v>
      </c>
      <c r="B23" s="9">
        <v>8.5000000000000006E-2</v>
      </c>
      <c r="C23" s="8" t="s">
        <v>179</v>
      </c>
      <c r="D23" s="2">
        <f t="shared" si="0"/>
        <v>1020.0000000000001</v>
      </c>
    </row>
    <row r="24" spans="1:9">
      <c r="A24" s="2" t="s">
        <v>188</v>
      </c>
      <c r="B24" s="9">
        <v>0.09</v>
      </c>
      <c r="C24" s="8" t="s">
        <v>179</v>
      </c>
      <c r="D24" s="2">
        <f t="shared" si="0"/>
        <v>1080</v>
      </c>
    </row>
    <row r="25" spans="1:9">
      <c r="A25" s="2" t="s">
        <v>189</v>
      </c>
      <c r="B25" s="9">
        <v>0.08</v>
      </c>
      <c r="C25" s="8" t="s">
        <v>190</v>
      </c>
      <c r="D25" s="2">
        <f t="shared" si="0"/>
        <v>960</v>
      </c>
    </row>
    <row r="26" spans="1:9" ht="30.75">
      <c r="A26" s="2" t="s">
        <v>191</v>
      </c>
      <c r="B26" s="9">
        <v>7.0000000000000007E-2</v>
      </c>
      <c r="C26" s="8" t="s">
        <v>192</v>
      </c>
      <c r="D26" s="2">
        <f t="shared" si="0"/>
        <v>840.00000000000011</v>
      </c>
    </row>
    <row r="27" spans="1:9">
      <c r="A27" s="2" t="s">
        <v>193</v>
      </c>
      <c r="B27" s="9">
        <v>0.08</v>
      </c>
      <c r="C27" s="8" t="s">
        <v>194</v>
      </c>
      <c r="D27" s="2">
        <f t="shared" si="0"/>
        <v>960</v>
      </c>
    </row>
    <row r="28" spans="1:9" ht="30.75">
      <c r="A28" s="31" t="s">
        <v>195</v>
      </c>
      <c r="B28" s="32">
        <v>0.1</v>
      </c>
      <c r="C28" s="33" t="s">
        <v>196</v>
      </c>
      <c r="D28" s="2">
        <f t="shared" si="0"/>
        <v>1200</v>
      </c>
    </row>
    <row r="29" spans="1:9">
      <c r="A29" s="2" t="s">
        <v>197</v>
      </c>
      <c r="B29" s="2">
        <f>SUM(B17:B28)</f>
        <v>0.99999999999999978</v>
      </c>
      <c r="C29" s="8" t="s">
        <v>198</v>
      </c>
      <c r="D29" s="2">
        <f>SUM(D17:D28)</f>
        <v>12000</v>
      </c>
    </row>
    <row r="30" spans="1:9">
      <c r="A30" s="27"/>
    </row>
    <row r="31" spans="1:9">
      <c r="A31" s="124" t="s">
        <v>199</v>
      </c>
      <c r="B31" s="124"/>
      <c r="C31" s="124"/>
      <c r="D31" s="124"/>
      <c r="E31" s="124"/>
      <c r="F31" s="124"/>
      <c r="G31" s="124"/>
      <c r="H31" s="124"/>
      <c r="I31" s="124"/>
    </row>
    <row r="32" spans="1:9">
      <c r="A32" s="51" t="s">
        <v>172</v>
      </c>
      <c r="B32" s="51" t="s">
        <v>200</v>
      </c>
      <c r="C32" s="52" t="s">
        <v>201</v>
      </c>
      <c r="D32" s="52" t="s">
        <v>202</v>
      </c>
      <c r="E32" s="52" t="s">
        <v>203</v>
      </c>
      <c r="F32" s="52" t="s">
        <v>204</v>
      </c>
      <c r="G32" s="52" t="s">
        <v>205</v>
      </c>
      <c r="H32" s="52" t="s">
        <v>206</v>
      </c>
      <c r="I32" s="52" t="s">
        <v>207</v>
      </c>
    </row>
    <row r="33" spans="1:9" ht="33" customHeight="1">
      <c r="A33" s="2" t="s">
        <v>176</v>
      </c>
      <c r="B33" s="11">
        <f>D17</f>
        <v>960</v>
      </c>
      <c r="C33" s="34">
        <f>($B$9+($B$8-$B$9)*(ROW()-33)/11)</f>
        <v>8.8315654130504656E-2</v>
      </c>
      <c r="D33" s="29">
        <f>B33*C33</f>
        <v>84.783027965284475</v>
      </c>
      <c r="E33" s="29">
        <f>B33-D33</f>
        <v>875.21697203471558</v>
      </c>
      <c r="F33" s="2">
        <f>B33</f>
        <v>960</v>
      </c>
      <c r="G33" s="29">
        <f>D33</f>
        <v>84.783027965284475</v>
      </c>
      <c r="H33" s="9">
        <f>F33/$B$5</f>
        <v>0.08</v>
      </c>
      <c r="I33" s="35" t="str">
        <f>IF(H33&gt;=(ROW()-33+1)/12+0.02,"Ahead of Plan",IF(H33&gt;=(ROW()-33+1)/12-0.02,"On Track","Behind Plan - Review Required"))</f>
        <v>On Track</v>
      </c>
    </row>
    <row r="34" spans="1:9">
      <c r="A34" s="2" t="s">
        <v>178</v>
      </c>
      <c r="B34" s="11">
        <f>D18</f>
        <v>1020.0000000000001</v>
      </c>
      <c r="C34" s="34">
        <f t="shared" ref="C34:C44" si="1">($B$9+($B$8-$B$9)*(ROW()-33)/11)</f>
        <v>9.0741503755004227E-2</v>
      </c>
      <c r="D34" s="29">
        <f t="shared" ref="D34:D44" si="2">B34*C34</f>
        <v>92.556333830104322</v>
      </c>
      <c r="E34" s="29">
        <f t="shared" ref="E34:E44" si="3">B34-D34</f>
        <v>927.44366616989578</v>
      </c>
      <c r="F34" s="2">
        <f>F33+B34</f>
        <v>1980</v>
      </c>
      <c r="G34" s="29">
        <f>G33+D34</f>
        <v>177.33936179538881</v>
      </c>
      <c r="H34" s="9">
        <f t="shared" ref="H34:H44" si="4">F34/$B$5</f>
        <v>0.16500000000000001</v>
      </c>
      <c r="I34" s="35" t="str">
        <f t="shared" ref="I34:I44" si="5">IF(H34&gt;=(ROW()-33+1)/12+0.02,"Ahead of Plan",IF(H34&gt;=(ROW()-33+1)/12-0.02,"On Track","Behind Plan - Review Required"))</f>
        <v>On Track</v>
      </c>
    </row>
    <row r="35" spans="1:9">
      <c r="A35" s="2" t="s">
        <v>180</v>
      </c>
      <c r="B35" s="11">
        <f t="shared" ref="B35:B44" si="6">D19</f>
        <v>840.00000000000011</v>
      </c>
      <c r="C35" s="34">
        <f t="shared" si="1"/>
        <v>9.3167353379503812E-2</v>
      </c>
      <c r="D35" s="29">
        <f t="shared" si="2"/>
        <v>78.260576838783209</v>
      </c>
      <c r="E35" s="29">
        <f t="shared" si="3"/>
        <v>761.73942316121691</v>
      </c>
      <c r="F35" s="2">
        <f t="shared" ref="F35:F44" si="7">F34+B35</f>
        <v>2820</v>
      </c>
      <c r="G35" s="29">
        <f t="shared" ref="G35:G44" si="8">G34+D35</f>
        <v>255.59993863417202</v>
      </c>
      <c r="H35" s="9">
        <f t="shared" si="4"/>
        <v>0.23499999999999999</v>
      </c>
      <c r="I35" s="35" t="str">
        <f t="shared" si="5"/>
        <v>On Track</v>
      </c>
    </row>
    <row r="36" spans="1:9">
      <c r="A36" s="2" t="s">
        <v>182</v>
      </c>
      <c r="B36" s="11">
        <f t="shared" si="6"/>
        <v>900</v>
      </c>
      <c r="C36" s="34">
        <f t="shared" si="1"/>
        <v>9.5593203004003383E-2</v>
      </c>
      <c r="D36" s="29">
        <f t="shared" si="2"/>
        <v>86.033882703603041</v>
      </c>
      <c r="E36" s="29">
        <f t="shared" si="3"/>
        <v>813.96611729639699</v>
      </c>
      <c r="F36" s="2">
        <f t="shared" si="7"/>
        <v>3720</v>
      </c>
      <c r="G36" s="29">
        <f t="shared" si="8"/>
        <v>341.63382133777509</v>
      </c>
      <c r="H36" s="9">
        <f t="shared" si="4"/>
        <v>0.31</v>
      </c>
      <c r="I36" s="35" t="str">
        <f t="shared" si="5"/>
        <v>Behind Plan - Review Required</v>
      </c>
    </row>
    <row r="37" spans="1:9">
      <c r="A37" s="2" t="s">
        <v>184</v>
      </c>
      <c r="B37" s="11">
        <f t="shared" si="6"/>
        <v>1080</v>
      </c>
      <c r="C37" s="34">
        <f t="shared" si="1"/>
        <v>9.8019052628502967E-2</v>
      </c>
      <c r="D37" s="29">
        <f t="shared" si="2"/>
        <v>105.8605768387832</v>
      </c>
      <c r="E37" s="29">
        <f t="shared" si="3"/>
        <v>974.13942316121677</v>
      </c>
      <c r="F37" s="2">
        <f t="shared" si="7"/>
        <v>4800</v>
      </c>
      <c r="G37" s="29">
        <f t="shared" si="8"/>
        <v>447.49439817655832</v>
      </c>
      <c r="H37" s="9">
        <f t="shared" si="4"/>
        <v>0.4</v>
      </c>
      <c r="I37" s="35" t="str">
        <f t="shared" si="5"/>
        <v>On Track</v>
      </c>
    </row>
    <row r="38" spans="1:9">
      <c r="A38" s="2" t="s">
        <v>185</v>
      </c>
      <c r="B38" s="11">
        <f t="shared" si="6"/>
        <v>1140</v>
      </c>
      <c r="C38" s="34">
        <f t="shared" si="1"/>
        <v>0.10044490225300254</v>
      </c>
      <c r="D38" s="29">
        <f t="shared" si="2"/>
        <v>114.50718856842289</v>
      </c>
      <c r="E38" s="29">
        <f t="shared" si="3"/>
        <v>1025.4928114315771</v>
      </c>
      <c r="F38" s="2">
        <f t="shared" si="7"/>
        <v>5940</v>
      </c>
      <c r="G38" s="29">
        <f t="shared" si="8"/>
        <v>562.00158674498118</v>
      </c>
      <c r="H38" s="9">
        <f t="shared" si="4"/>
        <v>0.495</v>
      </c>
      <c r="I38" s="35" t="str">
        <f t="shared" si="5"/>
        <v>On Track</v>
      </c>
    </row>
    <row r="39" spans="1:9">
      <c r="A39" s="2" t="s">
        <v>187</v>
      </c>
      <c r="B39" s="11">
        <f t="shared" si="6"/>
        <v>1020.0000000000001</v>
      </c>
      <c r="C39" s="34">
        <f t="shared" si="1"/>
        <v>0.10287075187750212</v>
      </c>
      <c r="D39" s="29">
        <f t="shared" si="2"/>
        <v>104.92816691505217</v>
      </c>
      <c r="E39" s="29">
        <f t="shared" si="3"/>
        <v>915.07183308494791</v>
      </c>
      <c r="F39" s="2">
        <f t="shared" si="7"/>
        <v>6960</v>
      </c>
      <c r="G39" s="29">
        <f t="shared" si="8"/>
        <v>666.92975366003338</v>
      </c>
      <c r="H39" s="9">
        <f t="shared" si="4"/>
        <v>0.57999999999999996</v>
      </c>
      <c r="I39" s="35" t="str">
        <f t="shared" si="5"/>
        <v>On Track</v>
      </c>
    </row>
    <row r="40" spans="1:9">
      <c r="A40" s="2" t="s">
        <v>188</v>
      </c>
      <c r="B40" s="11">
        <f t="shared" si="6"/>
        <v>1080</v>
      </c>
      <c r="C40" s="34">
        <f t="shared" si="1"/>
        <v>0.10529660150200169</v>
      </c>
      <c r="D40" s="29">
        <f t="shared" si="2"/>
        <v>113.72032962216183</v>
      </c>
      <c r="E40" s="29">
        <f t="shared" si="3"/>
        <v>966.27967037783822</v>
      </c>
      <c r="F40" s="2">
        <f t="shared" si="7"/>
        <v>8040</v>
      </c>
      <c r="G40" s="29">
        <f t="shared" si="8"/>
        <v>780.65008328219517</v>
      </c>
      <c r="H40" s="9">
        <f t="shared" si="4"/>
        <v>0.67</v>
      </c>
      <c r="I40" s="35" t="str">
        <f t="shared" si="5"/>
        <v>On Track</v>
      </c>
    </row>
    <row r="41" spans="1:9">
      <c r="A41" s="2" t="s">
        <v>189</v>
      </c>
      <c r="B41" s="11">
        <f t="shared" si="6"/>
        <v>960</v>
      </c>
      <c r="C41" s="34">
        <f t="shared" si="1"/>
        <v>0.10772245112650128</v>
      </c>
      <c r="D41" s="29">
        <f t="shared" si="2"/>
        <v>103.41355308144122</v>
      </c>
      <c r="E41" s="29">
        <f t="shared" si="3"/>
        <v>856.58644691855875</v>
      </c>
      <c r="F41" s="2">
        <f t="shared" si="7"/>
        <v>9000</v>
      </c>
      <c r="G41" s="29">
        <f t="shared" si="8"/>
        <v>884.06363636363642</v>
      </c>
      <c r="H41" s="9">
        <f t="shared" si="4"/>
        <v>0.75</v>
      </c>
      <c r="I41" s="35" t="str">
        <f t="shared" si="5"/>
        <v>On Track</v>
      </c>
    </row>
    <row r="42" spans="1:9">
      <c r="A42" s="2" t="s">
        <v>191</v>
      </c>
      <c r="B42" s="11">
        <f t="shared" si="6"/>
        <v>840.00000000000011</v>
      </c>
      <c r="C42" s="34">
        <f t="shared" si="1"/>
        <v>0.11014830075100085</v>
      </c>
      <c r="D42" s="29">
        <f t="shared" si="2"/>
        <v>92.524572630840723</v>
      </c>
      <c r="E42" s="29">
        <f t="shared" si="3"/>
        <v>747.47542736915943</v>
      </c>
      <c r="F42" s="2">
        <f t="shared" si="7"/>
        <v>9840</v>
      </c>
      <c r="G42" s="29">
        <f t="shared" si="8"/>
        <v>976.5882089944771</v>
      </c>
      <c r="H42" s="9">
        <f t="shared" si="4"/>
        <v>0.82</v>
      </c>
      <c r="I42" s="35" t="str">
        <f t="shared" si="5"/>
        <v>On Track</v>
      </c>
    </row>
    <row r="43" spans="1:9">
      <c r="A43" s="2" t="s">
        <v>193</v>
      </c>
      <c r="B43" s="11">
        <f t="shared" si="6"/>
        <v>960</v>
      </c>
      <c r="C43" s="34">
        <f t="shared" si="1"/>
        <v>0.11257415037550043</v>
      </c>
      <c r="D43" s="29">
        <f t="shared" si="2"/>
        <v>108.07118436048042</v>
      </c>
      <c r="E43" s="29">
        <f t="shared" si="3"/>
        <v>851.9288156395196</v>
      </c>
      <c r="F43" s="2">
        <f t="shared" si="7"/>
        <v>10800</v>
      </c>
      <c r="G43" s="29">
        <f t="shared" si="8"/>
        <v>1084.6593933549575</v>
      </c>
      <c r="H43" s="9">
        <f t="shared" si="4"/>
        <v>0.9</v>
      </c>
      <c r="I43" s="35" t="str">
        <f t="shared" si="5"/>
        <v>On Track</v>
      </c>
    </row>
    <row r="44" spans="1:9">
      <c r="A44" s="2" t="s">
        <v>195</v>
      </c>
      <c r="B44" s="11">
        <f t="shared" si="6"/>
        <v>1200</v>
      </c>
      <c r="C44" s="34">
        <f t="shared" si="1"/>
        <v>0.115</v>
      </c>
      <c r="D44" s="29">
        <f t="shared" si="2"/>
        <v>138</v>
      </c>
      <c r="E44" s="29">
        <f t="shared" si="3"/>
        <v>1062</v>
      </c>
      <c r="F44" s="2">
        <f t="shared" si="7"/>
        <v>12000</v>
      </c>
      <c r="G44" s="29">
        <f t="shared" si="8"/>
        <v>1222.6593933549575</v>
      </c>
      <c r="H44" s="9">
        <f t="shared" si="4"/>
        <v>1</v>
      </c>
      <c r="I44" s="35" t="str">
        <f t="shared" si="5"/>
        <v>On Track</v>
      </c>
    </row>
    <row r="46" spans="1:9">
      <c r="A46" s="125" t="s">
        <v>208</v>
      </c>
      <c r="B46" s="125"/>
      <c r="C46" s="125"/>
    </row>
    <row r="47" spans="1:9">
      <c r="A47" s="8" t="s">
        <v>209</v>
      </c>
      <c r="B47" s="29">
        <f>SUM(B33:B44)</f>
        <v>12000</v>
      </c>
      <c r="C47" s="2" t="s">
        <v>210</v>
      </c>
    </row>
    <row r="48" spans="1:9">
      <c r="A48" s="8" t="s">
        <v>211</v>
      </c>
      <c r="B48" s="29">
        <f>SUM(D33:D44)</f>
        <v>1222.6593933549575</v>
      </c>
      <c r="C48" s="8" t="s">
        <v>212</v>
      </c>
    </row>
    <row r="49" spans="1:3" ht="30.75">
      <c r="A49" s="8" t="s">
        <v>213</v>
      </c>
      <c r="B49" s="9">
        <f>B48/B47</f>
        <v>0.10188828277957979</v>
      </c>
      <c r="C49" s="8" t="s">
        <v>214</v>
      </c>
    </row>
    <row r="50" spans="1:3">
      <c r="A50" s="8" t="s">
        <v>82</v>
      </c>
      <c r="B50" s="29">
        <f>Data!C6</f>
        <v>1099</v>
      </c>
      <c r="C50" s="8" t="s">
        <v>215</v>
      </c>
    </row>
    <row r="51" spans="1:3" ht="30.75">
      <c r="A51" s="8" t="s">
        <v>216</v>
      </c>
      <c r="B51" s="30">
        <f>B48-B50</f>
        <v>123.6593933549575</v>
      </c>
      <c r="C51" s="8" t="s">
        <v>217</v>
      </c>
    </row>
    <row r="52" spans="1:3">
      <c r="A52" s="8" t="s">
        <v>218</v>
      </c>
      <c r="B52" s="9">
        <f>B51/B50</f>
        <v>0.11251992116010692</v>
      </c>
      <c r="C52" s="8" t="s">
        <v>219</v>
      </c>
    </row>
    <row r="54" spans="1:3">
      <c r="A54" s="1"/>
    </row>
    <row r="56" spans="1:3">
      <c r="A56" s="27"/>
    </row>
    <row r="58" spans="1:3">
      <c r="A58" s="1"/>
    </row>
    <row r="60" spans="1:3">
      <c r="A60" s="27"/>
    </row>
    <row r="62" spans="1:3">
      <c r="A62" s="1"/>
    </row>
    <row r="64" spans="1:3">
      <c r="A64" s="27"/>
    </row>
    <row r="66" spans="1:1">
      <c r="A66" s="1"/>
    </row>
    <row r="68" spans="1:1">
      <c r="A68" s="27"/>
    </row>
  </sheetData>
  <mergeCells count="4">
    <mergeCell ref="A4:C4"/>
    <mergeCell ref="A14:D14"/>
    <mergeCell ref="A31:I31"/>
    <mergeCell ref="A46:C46"/>
  </mergeCells>
  <conditionalFormatting sqref="B29">
    <cfRule type="cellIs" dxfId="9" priority="5" operator="equal">
      <formula>1</formula>
    </cfRule>
  </conditionalFormatting>
  <conditionalFormatting sqref="B29">
    <cfRule type="cellIs" dxfId="8" priority="4" operator="notEqual">
      <formula>1</formula>
    </cfRule>
  </conditionalFormatting>
  <conditionalFormatting sqref="I33:I44">
    <cfRule type="containsText" dxfId="7" priority="3" operator="containsText" text="Ahead">
      <formula>NOT(ISERROR(SEARCH("Ahead",I33)))</formula>
    </cfRule>
  </conditionalFormatting>
  <conditionalFormatting sqref="I33:I44">
    <cfRule type="containsText" dxfId="6" priority="2" operator="containsText" text="On Track">
      <formula>NOT(ISERROR(SEARCH("On Track",I33)))</formula>
    </cfRule>
  </conditionalFormatting>
  <conditionalFormatting sqref="I33:I44">
    <cfRule type="containsText" dxfId="5" priority="1" operator="containsText" text="Behind">
      <formula>NOT(ISERROR(SEARCH("Behind",I33)))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5B86-55AB-4D91-8F5D-777FC07D0481}">
  <sheetPr>
    <tabColor rgb="FFC00000"/>
  </sheetPr>
  <dimension ref="B1:O54"/>
  <sheetViews>
    <sheetView workbookViewId="0">
      <selection activeCell="M37" sqref="M37"/>
    </sheetView>
  </sheetViews>
  <sheetFormatPr defaultRowHeight="15"/>
  <cols>
    <col min="1" max="1" width="2.7109375" customWidth="1"/>
    <col min="2" max="5" width="12.7109375" customWidth="1"/>
    <col min="6" max="6" width="12.85546875" customWidth="1"/>
    <col min="7" max="8" width="12.7109375" customWidth="1"/>
    <col min="9" max="9" width="12.85546875" customWidth="1"/>
    <col min="10" max="10" width="2.7109375" customWidth="1"/>
    <col min="12" max="12" width="21.42578125" bestFit="1" customWidth="1"/>
    <col min="13" max="13" width="34.140625" bestFit="1" customWidth="1"/>
    <col min="14" max="15" width="36.5703125" bestFit="1" customWidth="1"/>
  </cols>
  <sheetData>
    <row r="1" spans="2:9" ht="30.75" customHeight="1">
      <c r="B1" s="83" t="s">
        <v>220</v>
      </c>
      <c r="C1" s="83"/>
      <c r="D1" s="83"/>
      <c r="E1" s="83"/>
      <c r="F1" s="83"/>
      <c r="G1" s="83"/>
      <c r="H1" s="83"/>
      <c r="I1" s="83"/>
    </row>
    <row r="3" spans="2:9" ht="45.75" customHeight="1">
      <c r="B3" s="84" t="s">
        <v>221</v>
      </c>
      <c r="C3" s="84"/>
      <c r="D3" s="88" t="s">
        <v>222</v>
      </c>
      <c r="E3" s="88"/>
      <c r="F3" s="84" t="s">
        <v>223</v>
      </c>
      <c r="G3" s="84"/>
      <c r="H3" s="84" t="s">
        <v>224</v>
      </c>
      <c r="I3" s="84"/>
    </row>
    <row r="5" spans="2:9" ht="23.25">
      <c r="B5" s="86" t="str">
        <f>TEXT(FORECAST!B47,"#,##0")&amp;"€M"</f>
        <v>12,000€M</v>
      </c>
      <c r="C5" s="87"/>
      <c r="D5" s="89" t="str">
        <f>TEXT(FORECAST!B48,"#,##0")&amp;"€M"</f>
        <v>1,223€M</v>
      </c>
      <c r="E5" s="89"/>
      <c r="F5" s="90">
        <f>FORECAST!B49</f>
        <v>0.10188828277957979</v>
      </c>
      <c r="G5" s="90"/>
      <c r="H5" s="91">
        <f>FORECAST!B12</f>
        <v>2.6684345869495349E-2</v>
      </c>
      <c r="I5" s="91"/>
    </row>
    <row r="7" spans="2:9" ht="30.75" customHeight="1">
      <c r="B7" s="85" t="s">
        <v>225</v>
      </c>
      <c r="C7" s="85"/>
      <c r="D7" s="85" t="str">
        <f>TEXT(FORECAST!B52,"0.0%")&amp;" vs FY2025"</f>
        <v>11.3% vs FY2025</v>
      </c>
      <c r="E7" s="85"/>
      <c r="F7" s="85" t="str">
        <f>IF(FORECAST!B49&gt;=FORECAST!B6, "Above Target","Below Target")</f>
        <v>Above Target</v>
      </c>
      <c r="G7" s="85"/>
      <c r="H7" s="78" t="s">
        <v>226</v>
      </c>
      <c r="I7" s="78"/>
    </row>
    <row r="10" spans="2:9">
      <c r="B10" t="s">
        <v>227</v>
      </c>
    </row>
    <row r="11" spans="2:9">
      <c r="B11" t="s">
        <v>228</v>
      </c>
      <c r="D11" s="37" t="s">
        <v>23</v>
      </c>
    </row>
    <row r="12" spans="2:9">
      <c r="B12" t="s">
        <v>229</v>
      </c>
      <c r="D12" s="36">
        <f>ANALYSIS!C5</f>
        <v>1013</v>
      </c>
    </row>
    <row r="13" spans="2:9">
      <c r="B13" t="s">
        <v>230</v>
      </c>
      <c r="D13" s="23">
        <f>ANALYSIS!C6</f>
        <v>90.832924693520141</v>
      </c>
    </row>
    <row r="14" spans="2:9">
      <c r="B14" t="s">
        <v>70</v>
      </c>
      <c r="D14" s="23">
        <f>ANALYSIS!C7</f>
        <v>-4.8329246935202121</v>
      </c>
    </row>
    <row r="15" spans="2:9">
      <c r="B15" t="s">
        <v>231</v>
      </c>
      <c r="D15" s="36">
        <f>ANALYSIS!C8</f>
        <v>-7</v>
      </c>
    </row>
    <row r="16" spans="2:9">
      <c r="B16" t="s">
        <v>232</v>
      </c>
      <c r="D16" s="36">
        <f>ANALYSIS!C9</f>
        <v>7</v>
      </c>
    </row>
    <row r="17" spans="2:4">
      <c r="B17" t="s">
        <v>233</v>
      </c>
      <c r="D17" s="36">
        <f>ANALYSIS!C12</f>
        <v>1099</v>
      </c>
    </row>
    <row r="19" spans="2:4" ht="45.75">
      <c r="B19" s="1" t="s">
        <v>234</v>
      </c>
    </row>
    <row r="20" spans="2:4">
      <c r="B20" t="s">
        <v>172</v>
      </c>
      <c r="C20" t="s">
        <v>22</v>
      </c>
      <c r="D20" t="s">
        <v>235</v>
      </c>
    </row>
    <row r="21" spans="2:4">
      <c r="B21" t="str">
        <f>FORECAST!A33</f>
        <v>October</v>
      </c>
      <c r="C21" s="36">
        <f>FORECAST!B33</f>
        <v>960</v>
      </c>
      <c r="D21" s="38">
        <f>FORECAST!C33</f>
        <v>8.8315654130504656E-2</v>
      </c>
    </row>
    <row r="22" spans="2:4">
      <c r="B22" t="str">
        <f>FORECAST!A34</f>
        <v>November</v>
      </c>
      <c r="C22" s="36">
        <f>FORECAST!B34</f>
        <v>1020.0000000000001</v>
      </c>
      <c r="D22" s="38">
        <f>FORECAST!C34</f>
        <v>9.0741503755004227E-2</v>
      </c>
    </row>
    <row r="23" spans="2:4">
      <c r="B23" t="str">
        <f>FORECAST!A35</f>
        <v>December</v>
      </c>
      <c r="C23" s="36">
        <f>FORECAST!B35</f>
        <v>840.00000000000011</v>
      </c>
      <c r="D23" s="38">
        <f>FORECAST!C35</f>
        <v>9.3167353379503812E-2</v>
      </c>
    </row>
    <row r="24" spans="2:4">
      <c r="B24" t="str">
        <f>FORECAST!A36</f>
        <v>January</v>
      </c>
      <c r="C24" s="36">
        <f>FORECAST!B36</f>
        <v>900</v>
      </c>
      <c r="D24" s="38">
        <f>FORECAST!C36</f>
        <v>9.5593203004003383E-2</v>
      </c>
    </row>
    <row r="25" spans="2:4">
      <c r="B25" t="str">
        <f>FORECAST!A37</f>
        <v>February</v>
      </c>
      <c r="C25" s="36">
        <f>FORECAST!B37</f>
        <v>1080</v>
      </c>
      <c r="D25" s="38">
        <f>FORECAST!C37</f>
        <v>9.8019052628502967E-2</v>
      </c>
    </row>
    <row r="26" spans="2:4">
      <c r="B26" t="str">
        <f>FORECAST!A38</f>
        <v>March</v>
      </c>
      <c r="C26" s="36">
        <f>FORECAST!B38</f>
        <v>1140</v>
      </c>
      <c r="D26" s="38">
        <f>FORECAST!C38</f>
        <v>0.10044490225300254</v>
      </c>
    </row>
    <row r="27" spans="2:4">
      <c r="B27" t="str">
        <f>FORECAST!A39</f>
        <v>April</v>
      </c>
      <c r="C27" s="36">
        <f>FORECAST!B39</f>
        <v>1020.0000000000001</v>
      </c>
      <c r="D27" s="38">
        <f>FORECAST!C39</f>
        <v>0.10287075187750212</v>
      </c>
    </row>
    <row r="28" spans="2:4">
      <c r="B28" t="str">
        <f>FORECAST!A40</f>
        <v>May</v>
      </c>
      <c r="C28" s="36">
        <f>FORECAST!B40</f>
        <v>1080</v>
      </c>
      <c r="D28" s="38">
        <f>FORECAST!C40</f>
        <v>0.10529660150200169</v>
      </c>
    </row>
    <row r="29" spans="2:4">
      <c r="B29" t="str">
        <f>FORECAST!A41</f>
        <v>June</v>
      </c>
      <c r="C29" s="36">
        <f>FORECAST!B41</f>
        <v>960</v>
      </c>
      <c r="D29" s="38">
        <f>FORECAST!C41</f>
        <v>0.10772245112650128</v>
      </c>
    </row>
    <row r="30" spans="2:4">
      <c r="B30" t="str">
        <f>FORECAST!A42</f>
        <v>July</v>
      </c>
      <c r="C30" s="36">
        <f>FORECAST!B42</f>
        <v>840.00000000000011</v>
      </c>
      <c r="D30" s="38">
        <f>FORECAST!C42</f>
        <v>0.11014830075100085</v>
      </c>
    </row>
    <row r="31" spans="2:4">
      <c r="B31" t="str">
        <f>FORECAST!A43</f>
        <v>August</v>
      </c>
      <c r="C31" s="36">
        <f>FORECAST!B43</f>
        <v>960</v>
      </c>
      <c r="D31" s="38">
        <f>FORECAST!C43</f>
        <v>0.11257415037550043</v>
      </c>
    </row>
    <row r="32" spans="2:4">
      <c r="B32" t="str">
        <f>FORECAST!A44</f>
        <v>September</v>
      </c>
      <c r="C32" s="36">
        <f>FORECAST!B44</f>
        <v>1200</v>
      </c>
      <c r="D32" s="38">
        <f>FORECAST!C44</f>
        <v>0.115</v>
      </c>
    </row>
    <row r="45" spans="2:15">
      <c r="B45" s="77" t="s">
        <v>236</v>
      </c>
      <c r="C45" s="77"/>
      <c r="D45" s="77"/>
      <c r="E45" s="77"/>
      <c r="F45" s="77"/>
      <c r="G45" s="77"/>
      <c r="H45" s="77"/>
      <c r="I45" s="77"/>
      <c r="M45" s="25"/>
      <c r="N45" s="1"/>
      <c r="O45" s="1"/>
    </row>
    <row r="46" spans="2:15">
      <c r="B46" s="75" t="s">
        <v>17</v>
      </c>
      <c r="C46" s="75"/>
      <c r="D46" s="60"/>
      <c r="E46" s="60"/>
      <c r="F46" s="80" t="s">
        <v>237</v>
      </c>
      <c r="G46" s="80"/>
      <c r="H46" s="60" t="s">
        <v>238</v>
      </c>
      <c r="I46" s="60"/>
      <c r="N46" s="27"/>
      <c r="O46" s="27"/>
    </row>
    <row r="47" spans="2:15" ht="27.75" customHeight="1">
      <c r="B47" s="75" t="s">
        <v>239</v>
      </c>
      <c r="C47" s="75"/>
      <c r="D47" s="61"/>
      <c r="E47" s="60"/>
      <c r="F47" s="81" t="str">
        <f>TEXT(FORECAST!B47,"#,##0") &amp; " €M"</f>
        <v>12,000 €M</v>
      </c>
      <c r="G47" s="81"/>
      <c r="H47" s="76" t="s">
        <v>240</v>
      </c>
      <c r="I47" s="76"/>
      <c r="N47" s="27"/>
      <c r="O47" s="27"/>
    </row>
    <row r="48" spans="2:15">
      <c r="B48" s="75" t="s">
        <v>241</v>
      </c>
      <c r="C48" s="75"/>
      <c r="D48" s="60"/>
      <c r="E48" s="60"/>
      <c r="F48" s="81" t="str">
        <f>TEXT(FORECAST!B48,"#,##0") &amp; " €M"</f>
        <v>1,223 €M</v>
      </c>
      <c r="G48" s="81"/>
      <c r="H48" s="79" t="str">
        <f>IF(FORECAST!B48&gt;Data!C6, "Above FY2025 — on track","Below FY2025 — review required")</f>
        <v>Above FY2025 — on track</v>
      </c>
      <c r="I48" s="79"/>
      <c r="N48" s="27"/>
      <c r="O48" s="27"/>
    </row>
    <row r="49" spans="2:15">
      <c r="B49" s="75" t="s">
        <v>216</v>
      </c>
      <c r="C49" s="75"/>
      <c r="D49" s="61"/>
      <c r="E49" s="60"/>
      <c r="F49" s="80" t="str">
        <f>TEXT(FORECAST!B51,"#,##0") &amp; " €M"</f>
        <v>124 €M</v>
      </c>
      <c r="G49" s="80"/>
      <c r="H49" s="79" t="str">
        <f>TEXT(FORECAST!B52,"0.0% ") &amp; "growth vs FY2025"</f>
        <v>11.3% growth vs FY2025</v>
      </c>
      <c r="I49" s="79"/>
      <c r="N49" s="27"/>
      <c r="O49" s="27"/>
    </row>
    <row r="50" spans="2:15">
      <c r="B50" s="75" t="s">
        <v>213</v>
      </c>
      <c r="C50" s="75"/>
      <c r="D50" s="61"/>
      <c r="E50" s="60"/>
      <c r="F50" s="82" t="str">
        <f>TEXT(FORECAST!B49,"0.00%")</f>
        <v>10.19%</v>
      </c>
      <c r="G50" s="82"/>
      <c r="H50" s="79" t="str">
        <f>IF(FORECAST!B49&gt;=FORECAST!B6,"Within target range 10-13%","Below minimum target of 10%")</f>
        <v>Within target range 10-13%</v>
      </c>
      <c r="I50" s="79"/>
      <c r="N50" s="27"/>
      <c r="O50" s="1"/>
    </row>
    <row r="51" spans="2:15" ht="27" customHeight="1">
      <c r="B51" s="75" t="s">
        <v>88</v>
      </c>
      <c r="C51" s="75"/>
      <c r="D51" s="60"/>
      <c r="E51" s="60"/>
      <c r="F51" s="80" t="str">
        <f>TEXT(ANALYSIS!C16,"0.00")</f>
        <v>0.82</v>
      </c>
      <c r="G51" s="80"/>
      <c r="H51" s="76" t="str">
        <f>ANALYSIS!D16</f>
        <v>Caution - assets aging faster than investment</v>
      </c>
      <c r="I51" s="76"/>
      <c r="N51" s="27"/>
      <c r="O51" s="1"/>
    </row>
    <row r="52" spans="2:15" ht="34.5" customHeight="1">
      <c r="B52" s="75" t="s">
        <v>242</v>
      </c>
      <c r="C52" s="75"/>
      <c r="D52" s="61"/>
      <c r="E52" s="60"/>
      <c r="F52" s="80" t="str">
        <f>TEXT(ANALYSIS!C20,"0.0")&amp;" years"</f>
        <v>4.2 years</v>
      </c>
      <c r="G52" s="80"/>
      <c r="H52" s="76" t="s">
        <v>243</v>
      </c>
      <c r="I52" s="76"/>
    </row>
    <row r="53" spans="2:15" ht="34.5" customHeight="1">
      <c r="B53" s="75" t="s">
        <v>244</v>
      </c>
      <c r="C53" s="75"/>
      <c r="D53" s="61"/>
      <c r="E53" s="60"/>
      <c r="F53" s="60" t="str">
        <f>TEXT(ANALYSIS!B27,"0%")&amp;" of total costs"</f>
        <v>44% of total costs</v>
      </c>
      <c r="G53" s="60"/>
      <c r="H53" s="76" t="s">
        <v>245</v>
      </c>
      <c r="I53" s="76"/>
    </row>
    <row r="54" spans="2:15" ht="35.25" customHeight="1">
      <c r="B54" s="78" t="s">
        <v>246</v>
      </c>
      <c r="C54" s="78"/>
      <c r="D54" s="78"/>
      <c r="E54" s="78"/>
      <c r="F54" s="78"/>
      <c r="G54" s="78"/>
      <c r="H54" s="78"/>
      <c r="I54" s="78"/>
    </row>
  </sheetData>
  <mergeCells count="37">
    <mergeCell ref="B1:I1"/>
    <mergeCell ref="B3:C3"/>
    <mergeCell ref="B7:C7"/>
    <mergeCell ref="B5:C5"/>
    <mergeCell ref="D3:E3"/>
    <mergeCell ref="D5:E5"/>
    <mergeCell ref="D7:E7"/>
    <mergeCell ref="F3:G3"/>
    <mergeCell ref="F5:G5"/>
    <mergeCell ref="F7:G7"/>
    <mergeCell ref="H3:I3"/>
    <mergeCell ref="H5:I5"/>
    <mergeCell ref="H7:I7"/>
    <mergeCell ref="B45:I45"/>
    <mergeCell ref="B54:I54"/>
    <mergeCell ref="H47:I47"/>
    <mergeCell ref="H48:I48"/>
    <mergeCell ref="H49:I49"/>
    <mergeCell ref="H50:I50"/>
    <mergeCell ref="H52:I52"/>
    <mergeCell ref="H53:I53"/>
    <mergeCell ref="F46:G46"/>
    <mergeCell ref="F47:G47"/>
    <mergeCell ref="F48:G48"/>
    <mergeCell ref="F49:G49"/>
    <mergeCell ref="F50:G50"/>
    <mergeCell ref="F51:G51"/>
    <mergeCell ref="F52:G52"/>
    <mergeCell ref="B51:C51"/>
    <mergeCell ref="B52:C52"/>
    <mergeCell ref="B53:C53"/>
    <mergeCell ref="H51:I51"/>
    <mergeCell ref="B46:C46"/>
    <mergeCell ref="B47:C47"/>
    <mergeCell ref="B48:C48"/>
    <mergeCell ref="B49:C49"/>
    <mergeCell ref="B50:C50"/>
  </mergeCells>
  <conditionalFormatting sqref="F7">
    <cfRule type="containsText" dxfId="4" priority="5" operator="containsText" text="Above Target">
      <formula>NOT(ISERROR(SEARCH("Above Target",F7)))</formula>
    </cfRule>
  </conditionalFormatting>
  <conditionalFormatting sqref="F7">
    <cfRule type="containsText" dxfId="3" priority="4" operator="containsText" text="Below Target">
      <formula>NOT(ISERROR(SEARCH("Below Target",F7)))</formula>
    </cfRule>
  </conditionalFormatting>
  <conditionalFormatting sqref="H5:I5">
    <cfRule type="cellIs" dxfId="2" priority="3" operator="greaterThan">
      <formula>0.04</formula>
    </cfRule>
  </conditionalFormatting>
  <conditionalFormatting sqref="H5:I5">
    <cfRule type="cellIs" dxfId="1" priority="2" operator="lessThan">
      <formula>0.02</formula>
    </cfRule>
  </conditionalFormatting>
  <conditionalFormatting sqref="H5:I5">
    <cfRule type="cellIs" dxfId="0" priority="1" operator="between">
      <formula>0.02</formula>
      <formula>0.04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EBD9-DD46-4855-ABD5-1AA4E7CDA59F}">
  <sheetPr>
    <tabColor theme="1" tint="0.499984740745262"/>
  </sheetPr>
  <dimension ref="A1:E26"/>
  <sheetViews>
    <sheetView workbookViewId="0">
      <selection activeCell="E13" sqref="E13"/>
    </sheetView>
  </sheetViews>
  <sheetFormatPr defaultRowHeight="15"/>
  <cols>
    <col min="1" max="1" width="3.42578125" customWidth="1"/>
    <col min="2" max="3" width="36.5703125" bestFit="1" customWidth="1"/>
    <col min="4" max="4" width="17.85546875" customWidth="1"/>
    <col min="5" max="5" width="9.7109375" bestFit="1" customWidth="1"/>
  </cols>
  <sheetData>
    <row r="1" spans="1:5" ht="18.75">
      <c r="A1" s="42" t="s">
        <v>247</v>
      </c>
      <c r="B1" s="42"/>
      <c r="C1" s="42"/>
    </row>
    <row r="2" spans="1:5">
      <c r="A2" s="40" t="s">
        <v>248</v>
      </c>
      <c r="B2" s="40"/>
      <c r="C2" s="40"/>
    </row>
    <row r="3" spans="1:5">
      <c r="A3" s="39"/>
      <c r="B3" s="39"/>
      <c r="C3" s="39"/>
      <c r="D3" s="39"/>
      <c r="E3" s="39"/>
    </row>
    <row r="4" spans="1:5">
      <c r="A4" t="s">
        <v>249</v>
      </c>
      <c r="B4" s="43" t="s">
        <v>250</v>
      </c>
      <c r="C4" s="43" t="s">
        <v>251</v>
      </c>
      <c r="D4" s="43" t="s">
        <v>252</v>
      </c>
      <c r="E4" s="44" t="s">
        <v>253</v>
      </c>
    </row>
    <row r="5" spans="1:5" ht="60.75">
      <c r="A5">
        <v>1</v>
      </c>
      <c r="B5" s="8" t="s">
        <v>254</v>
      </c>
      <c r="C5" s="8" t="s">
        <v>255</v>
      </c>
      <c r="D5" s="8" t="s">
        <v>256</v>
      </c>
      <c r="E5" s="8" t="s">
        <v>257</v>
      </c>
    </row>
    <row r="6" spans="1:5" ht="45.75">
      <c r="A6">
        <v>2</v>
      </c>
      <c r="B6" s="8" t="s">
        <v>254</v>
      </c>
      <c r="C6" s="8" t="s">
        <v>255</v>
      </c>
      <c r="D6" s="8" t="s">
        <v>258</v>
      </c>
      <c r="E6" s="8" t="s">
        <v>257</v>
      </c>
    </row>
    <row r="7" spans="1:5" ht="45.75">
      <c r="A7">
        <v>3</v>
      </c>
      <c r="B7" s="8" t="s">
        <v>254</v>
      </c>
      <c r="C7" s="8" t="s">
        <v>255</v>
      </c>
      <c r="D7" s="8" t="s">
        <v>259</v>
      </c>
      <c r="E7" s="8" t="s">
        <v>260</v>
      </c>
    </row>
    <row r="8" spans="1:5" ht="60.75">
      <c r="A8">
        <v>4</v>
      </c>
      <c r="B8" s="8" t="s">
        <v>254</v>
      </c>
      <c r="C8" s="8" t="s">
        <v>261</v>
      </c>
      <c r="D8" s="8" t="s">
        <v>262</v>
      </c>
      <c r="E8" s="8" t="s">
        <v>257</v>
      </c>
    </row>
    <row r="9" spans="1:5" ht="60.75">
      <c r="A9">
        <v>5</v>
      </c>
      <c r="B9" s="8" t="s">
        <v>254</v>
      </c>
      <c r="C9" s="8" t="s">
        <v>263</v>
      </c>
      <c r="D9" s="8" t="s">
        <v>264</v>
      </c>
      <c r="E9" s="8" t="s">
        <v>265</v>
      </c>
    </row>
    <row r="10" spans="1:5" ht="60.75">
      <c r="A10">
        <v>6</v>
      </c>
      <c r="B10" s="8" t="s">
        <v>254</v>
      </c>
      <c r="C10" s="8" t="s">
        <v>266</v>
      </c>
      <c r="D10" s="8" t="s">
        <v>267</v>
      </c>
      <c r="E10" s="8" t="s">
        <v>265</v>
      </c>
    </row>
    <row r="11" spans="1:5" ht="45.75">
      <c r="A11">
        <v>7</v>
      </c>
      <c r="B11" s="8" t="s">
        <v>254</v>
      </c>
      <c r="C11" s="8" t="s">
        <v>255</v>
      </c>
      <c r="D11" s="8" t="s">
        <v>268</v>
      </c>
      <c r="E11" s="8" t="s">
        <v>269</v>
      </c>
    </row>
    <row r="12" spans="1:5" ht="60.75">
      <c r="A12">
        <v>8</v>
      </c>
      <c r="B12" s="8" t="s">
        <v>254</v>
      </c>
      <c r="C12" s="8" t="s">
        <v>270</v>
      </c>
      <c r="D12" s="8" t="s">
        <v>271</v>
      </c>
      <c r="E12" s="8" t="s">
        <v>272</v>
      </c>
    </row>
    <row r="13" spans="1:5">
      <c r="B13" s="1"/>
    </row>
    <row r="14" spans="1:5">
      <c r="B14" s="41" t="s">
        <v>273</v>
      </c>
    </row>
    <row r="15" spans="1:5" ht="60.75">
      <c r="B15" s="1" t="s">
        <v>274</v>
      </c>
    </row>
    <row r="16" spans="1:5" ht="60.75">
      <c r="B16" s="1" t="s">
        <v>275</v>
      </c>
    </row>
    <row r="17" spans="2:2" ht="60.75">
      <c r="B17" s="1" t="s">
        <v>276</v>
      </c>
    </row>
    <row r="19" spans="2:2">
      <c r="B19" s="1"/>
    </row>
    <row r="20" spans="2:2">
      <c r="B20" s="1"/>
    </row>
    <row r="25" spans="2:2">
      <c r="B25" s="1"/>
    </row>
    <row r="26" spans="2:2">
      <c r="B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F8E9-F5F3-4050-868B-2BAB46DC502B}">
  <sheetPr>
    <tabColor rgb="FF7030A0"/>
  </sheetPr>
  <dimension ref="A1:D28"/>
  <sheetViews>
    <sheetView workbookViewId="0"/>
  </sheetViews>
  <sheetFormatPr defaultRowHeight="15"/>
  <cols>
    <col min="1" max="1" width="36.5703125" bestFit="1" customWidth="1"/>
    <col min="2" max="2" width="10.28515625" customWidth="1"/>
    <col min="3" max="3" width="11.85546875" bestFit="1" customWidth="1"/>
  </cols>
  <sheetData>
    <row r="1" spans="1:4">
      <c r="A1" s="53" t="s">
        <v>277</v>
      </c>
    </row>
    <row r="2" spans="1:4" ht="30.75">
      <c r="A2" s="1" t="s">
        <v>278</v>
      </c>
    </row>
    <row r="3" spans="1:4">
      <c r="A3" s="2" t="s">
        <v>279</v>
      </c>
      <c r="B3" s="2" t="s">
        <v>172</v>
      </c>
      <c r="C3" s="2" t="s">
        <v>280</v>
      </c>
      <c r="D3" s="2" t="s">
        <v>235</v>
      </c>
    </row>
    <row r="4" spans="1:4">
      <c r="A4" s="2"/>
      <c r="B4" s="2" t="s">
        <v>176</v>
      </c>
      <c r="C4" s="11">
        <f>FORECAST!B33</f>
        <v>960</v>
      </c>
      <c r="D4" s="9">
        <f>FORECAST!C33</f>
        <v>8.8315654130504656E-2</v>
      </c>
    </row>
    <row r="5" spans="1:4">
      <c r="A5" s="2"/>
      <c r="B5" s="2" t="s">
        <v>178</v>
      </c>
      <c r="C5" s="11">
        <f>FORECAST!B34</f>
        <v>1020.0000000000001</v>
      </c>
      <c r="D5" s="9">
        <f>FORECAST!C34</f>
        <v>9.0741503755004227E-2</v>
      </c>
    </row>
    <row r="6" spans="1:4">
      <c r="A6" s="2"/>
      <c r="B6" s="2" t="s">
        <v>180</v>
      </c>
      <c r="C6" s="11">
        <f>FORECAST!B35</f>
        <v>840.00000000000011</v>
      </c>
      <c r="D6" s="9">
        <f>FORECAST!C35</f>
        <v>9.3167353379503812E-2</v>
      </c>
    </row>
    <row r="7" spans="1:4">
      <c r="A7" s="2"/>
      <c r="B7" s="2" t="s">
        <v>182</v>
      </c>
      <c r="C7" s="11">
        <f>FORECAST!B36</f>
        <v>900</v>
      </c>
      <c r="D7" s="9">
        <f>FORECAST!C36</f>
        <v>9.5593203004003383E-2</v>
      </c>
    </row>
    <row r="8" spans="1:4">
      <c r="A8" s="2"/>
      <c r="B8" s="2" t="s">
        <v>184</v>
      </c>
      <c r="C8" s="11">
        <f>FORECAST!B37</f>
        <v>1080</v>
      </c>
      <c r="D8" s="9">
        <f>FORECAST!C37</f>
        <v>9.8019052628502967E-2</v>
      </c>
    </row>
    <row r="9" spans="1:4">
      <c r="A9" s="2"/>
      <c r="B9" s="2" t="s">
        <v>185</v>
      </c>
      <c r="C9" s="11">
        <f>FORECAST!B38</f>
        <v>1140</v>
      </c>
      <c r="D9" s="9">
        <f>FORECAST!C38</f>
        <v>0.10044490225300254</v>
      </c>
    </row>
    <row r="10" spans="1:4">
      <c r="A10" s="2"/>
      <c r="B10" s="2" t="s">
        <v>187</v>
      </c>
      <c r="C10" s="11">
        <f>FORECAST!B39</f>
        <v>1020.0000000000001</v>
      </c>
      <c r="D10" s="9">
        <f>FORECAST!C39</f>
        <v>0.10287075187750212</v>
      </c>
    </row>
    <row r="11" spans="1:4">
      <c r="A11" s="2"/>
      <c r="B11" s="2" t="s">
        <v>188</v>
      </c>
      <c r="C11" s="11">
        <f>FORECAST!B40</f>
        <v>1080</v>
      </c>
      <c r="D11" s="9">
        <f>FORECAST!C40</f>
        <v>0.10529660150200169</v>
      </c>
    </row>
    <row r="12" spans="1:4">
      <c r="A12" s="2"/>
      <c r="B12" s="2" t="s">
        <v>189</v>
      </c>
      <c r="C12" s="11">
        <f>FORECAST!B41</f>
        <v>960</v>
      </c>
      <c r="D12" s="9">
        <f>FORECAST!C41</f>
        <v>0.10772245112650128</v>
      </c>
    </row>
    <row r="13" spans="1:4">
      <c r="A13" s="2"/>
      <c r="B13" s="2" t="s">
        <v>191</v>
      </c>
      <c r="C13" s="11">
        <f>FORECAST!B42</f>
        <v>840.00000000000011</v>
      </c>
      <c r="D13" s="9">
        <f>FORECAST!C42</f>
        <v>0.11014830075100085</v>
      </c>
    </row>
    <row r="14" spans="1:4">
      <c r="A14" s="2"/>
      <c r="B14" s="2" t="s">
        <v>193</v>
      </c>
      <c r="C14" s="11">
        <f>FORECAST!B43</f>
        <v>960</v>
      </c>
      <c r="D14" s="9">
        <f>FORECAST!C43</f>
        <v>0.11257415037550043</v>
      </c>
    </row>
    <row r="15" spans="1:4">
      <c r="A15" s="2"/>
      <c r="B15" s="2" t="s">
        <v>195</v>
      </c>
      <c r="C15" s="11">
        <f>FORECAST!B44</f>
        <v>1200</v>
      </c>
      <c r="D15" s="9">
        <f>FORECAST!C44</f>
        <v>0.115</v>
      </c>
    </row>
    <row r="18" spans="1:1">
      <c r="A18" s="59" t="s">
        <v>281</v>
      </c>
    </row>
    <row r="19" spans="1:1">
      <c r="A19" s="57" t="s">
        <v>282</v>
      </c>
    </row>
    <row r="20" spans="1:1">
      <c r="A20" s="56" t="s">
        <v>185</v>
      </c>
    </row>
    <row r="21" spans="1:1">
      <c r="A21" t="s">
        <v>283</v>
      </c>
    </row>
    <row r="22" spans="1:1">
      <c r="A22" s="54">
        <f>_xlfn.XLOOKUP(A20, B4:B15, C4:C15, "Month not found")</f>
        <v>1140</v>
      </c>
    </row>
    <row r="23" spans="1:1">
      <c r="A23" t="s">
        <v>284</v>
      </c>
    </row>
    <row r="24" spans="1:1">
      <c r="A24" s="55">
        <f>_xlfn.XLOOKUP(A20,B4:B15,D4:D15, "Month not found")</f>
        <v>0.10044490225300254</v>
      </c>
    </row>
    <row r="25" spans="1:1">
      <c r="A25" t="s">
        <v>285</v>
      </c>
    </row>
    <row r="26" spans="1:1">
      <c r="A26" s="54">
        <f>IF(A22="Month not found", "N/A", AVERAGE(C4:C15))</f>
        <v>1000</v>
      </c>
    </row>
    <row r="27" spans="1:1">
      <c r="A27" t="s">
        <v>286</v>
      </c>
    </row>
    <row r="28" spans="1:1">
      <c r="A28" s="58" t="str">
        <f>IF(A22= "Month not found","N/A", IF(A22&gt;A26, "Above average revenue month", "Below average revenue month"))</f>
        <v>Above average revenue month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2026-03-30T23:42:03Z</dcterms:created>
  <dcterms:modified xsi:type="dcterms:W3CDTF">2026-07-22T03:40:50Z</dcterms:modified>
  <cp:category/>
  <cp:contentStatus/>
</cp:coreProperties>
</file>